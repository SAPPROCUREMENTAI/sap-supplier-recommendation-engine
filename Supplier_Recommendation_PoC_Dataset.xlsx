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5e379be95841dc9/Desktop/Nikhil/AI Transformation/Freelancer/Training/FI_SD_PP_MM/MM Complete/UC Demo/Supplier Recommendation Model/"/>
    </mc:Choice>
  </mc:AlternateContent>
  <xr:revisionPtr revIDLastSave="2" documentId="11_A67D0AE28D1E84ADD280715724FEA1342D55C5EB" xr6:coauthVersionLast="47" xr6:coauthVersionMax="47" xr10:uidLastSave="{F5358B05-F792-4E17-848B-B8C1194CE045}"/>
  <bookViews>
    <workbookView xWindow="-110" yWindow="-110" windowWidth="19420" windowHeight="10300" tabRatio="500" activeTab="1" xr2:uid="{00000000-000D-0000-FFFF-FFFF00000000}"/>
  </bookViews>
  <sheets>
    <sheet name="Notes" sheetId="1" r:id="rId1"/>
    <sheet name="LFA1_VendorMaster" sheetId="2" r:id="rId2"/>
    <sheet name="EKKO_POHeader" sheetId="3" r:id="rId3"/>
    <sheet name="EKPO_POLineItem" sheetId="4" r:id="rId4"/>
    <sheet name="VendorScorec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4" i="5" l="1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</calcChain>
</file>

<file path=xl/sharedStrings.xml><?xml version="1.0" encoding="utf-8"?>
<sst xmlns="http://schemas.openxmlformats.org/spreadsheetml/2006/main" count="1269" uniqueCount="505">
  <si>
    <t>Supplier Recommendation Engine — Dataset &amp; Parameter Reference</t>
  </si>
  <si>
    <t>A.  PURPOSE OF THIS DATASET</t>
  </si>
  <si>
    <t>This workbook contains simulated SAP procurement master data used to train and test an AI-powered Supplier Recommendation Engine deployed on SAP BTP AI Core. The data mirrors the structure of real S/4HANA tables (LFA1, EKKO, EKPO) and a derived Vendor Scorecard. All company names, vendor IDs, and transaction values are fictional and created for demonstration purposes only.</t>
  </si>
  <si>
    <t>B.  WORKBOOK STRUCTURE</t>
  </si>
  <si>
    <t>Sheet Name</t>
  </si>
  <si>
    <t>SAP Table Equivalent</t>
  </si>
  <si>
    <t>Purpose</t>
  </si>
  <si>
    <t>Row Count</t>
  </si>
  <si>
    <t>Notes</t>
  </si>
  <si>
    <t>N/A</t>
  </si>
  <si>
    <t>Dataset documentation, parameter definitions and calculation formulas</t>
  </si>
  <si>
    <t>—</t>
  </si>
  <si>
    <t>LFA1_VendorMaster</t>
  </si>
  <si>
    <t>LFA1</t>
  </si>
  <si>
    <t>Vendor master: legal name, country, city, tax ID, industry sector</t>
  </si>
  <si>
    <t>20</t>
  </si>
  <si>
    <t>EKKO_POHeader</t>
  </si>
  <si>
    <t>EKKO</t>
  </si>
  <si>
    <t>Purchase order headers: PO number, vendor, date, company code</t>
  </si>
  <si>
    <t>30</t>
  </si>
  <si>
    <t>EKPO_POLineItem</t>
  </si>
  <si>
    <t>EKPO</t>
  </si>
  <si>
    <t>PO line items: material number, description, quantity, price</t>
  </si>
  <si>
    <t>VendorScorecard</t>
  </si>
  <si>
    <t>Derived / EKBE</t>
  </si>
  <si>
    <t>AI model input features: 15 KPI columns calculated from PO history</t>
  </si>
  <si>
    <t>C.  WHY THE VENDOR SCORECARD HAS NO MATERIAL NUMBER</t>
  </si>
  <si>
    <t>The Vendor Scorecard is intentionally aggregated at the VENDOR + MATERIAL GROUP level, not at the individual material number (MATNR) level. This is the standard approach in SAP procurement analytics for the following reasons:
1. A single vendor typically supplies dozens or hundreds of individual materials within a group. Scoring at MATNR level creates an extremely sparse matrix with insufficient data per row to train a reliable ML model.
2. Procurement managers source by category (MRO, ELEC, MECH) not by individual part number when evaluating strategic suppliers. The recommendation engine answers 'Which vendor should I use for MRO procurement?' not 'Which vendor for bearing part SKF-6205?'
3. In a production S/4HANA system, MATNR-level scoring would be added as a second layer (Source List / Info Record scoring) on top of the vendor-level model. That is a Phase 2 enhancement, not required for this PoC.
Material numbers ARE present in the EKPO_POLineItem sheet (column MATNR) showing which materials each vendor has supplied historically.</t>
  </si>
  <si>
    <t>D.  HOW EACH KPI IS CALCULATED  (Source: EKKO + EKPO + EKBE + QM tables in S/4HANA)</t>
  </si>
  <si>
    <t>KPI Column</t>
  </si>
  <si>
    <t>S/4HANA Source Table(s)</t>
  </si>
  <si>
    <t>Calculation Formula / Logic</t>
  </si>
  <si>
    <t>Unit</t>
  </si>
  <si>
    <t>Good Range</t>
  </si>
  <si>
    <t>DELIVERY_RELIABILITY_PCT</t>
  </si>
  <si>
    <t>EKKO, EKPO, EKBE</t>
  </si>
  <si>
    <t>( COUNT of PO line items where GR (Goods Receipt) was posted within the agreed delivery date
  DIVIDED BY total COUNT of PO line items for vendor ) x 100
SAP field: EKBE-BUDAT &lt;= EKPO-EINDT for movement type 101</t>
  </si>
  <si>
    <t>%</t>
  </si>
  <si>
    <t>&gt;= 95%</t>
  </si>
  <si>
    <t>ON_TIME_DELIVERY_PCT</t>
  </si>
  <si>
    <t>( COUNT of POs where first GR posting date &lt;= confirmed delivery date from order acknowledgement
  DIVIDED BY total PO count ) x 100
Stricter than delivery reliability — measures the first GR attempt, not any GR within window</t>
  </si>
  <si>
    <t>&gt;= 93%</t>
  </si>
  <si>
    <t>QUALITY_REJECTION_PCT</t>
  </si>
  <si>
    <t>EKPO, QM (QMEL, QMFE)</t>
  </si>
  <si>
    <t>( SUM of rejected quantity from quality notifications (QMEL) for vendor
  DIVIDED BY total goods receipt quantity in EKBE for movement type 101 ) x 100
Low is better. In SAP QM: QMEL-LIFNR + rejection usage decision</t>
  </si>
  <si>
    <t>&lt;= 2%</t>
  </si>
  <si>
    <t>PRICE_VARIANCE_PCT</t>
  </si>
  <si>
    <t>EKPO, EKBE, EKKO</t>
  </si>
  <si>
    <t>( ABS( AVG actual invoice price from EKBE movement type 101 minus PO net price EKPO-NETPR )
  DIVIDED BY EKPO-NETPR ) x 100
Measures how much actual landed cost deviates from agreed PO price. Low is better.</t>
  </si>
  <si>
    <t>&lt;= 3%</t>
  </si>
  <si>
    <t>AVG_LEAD_TIME_DAYS</t>
  </si>
  <si>
    <t>EKKO, EKBE</t>
  </si>
  <si>
    <t>AVERAGE of ( EKBE-BUDAT (first GR date) minus EKKO-BEDAT (PO creation date) )
for all POs placed with this vendor in the measurement period.
Lower is better for MRO and high-turnover categories.</t>
  </si>
  <si>
    <t>Days</t>
  </si>
  <si>
    <t>&lt;= 10</t>
  </si>
  <si>
    <t>INVOICE_ACCURACY_PCT</t>
  </si>
  <si>
    <t>RBKP, RSEG (MM-IV)</t>
  </si>
  <si>
    <t>( COUNT of invoices where no price deviation block was set (RBKP-ZLSPR = blank)
  DIVIDED BY total invoices received ) x 100
Invoices with quantity or price discrepancies trigger an invoice block in SAP.</t>
  </si>
  <si>
    <t>&gt;= 96%</t>
  </si>
  <si>
    <t>TOTAL_PO_COUNT</t>
  </si>
  <si>
    <t>COUNT of EKKO records where LIFNR = vendor and LOEKZ (deletion flag) is blank
Filtered to measurement period (typically rolling 12 months).</t>
  </si>
  <si>
    <t>Count</t>
  </si>
  <si>
    <t>TOTAL_PO_VALUE_INR</t>
  </si>
  <si>
    <t>SUM of ( EKPO-NETPR x EKPO-MENGE ) for all PO line items of the vendor
Converted to INR using exchange rate at PO creation date (EKKO-WKURS).</t>
  </si>
  <si>
    <t>INR</t>
  </si>
  <si>
    <t>COMPLAINT_COUNT</t>
  </si>
  <si>
    <t>QM (QMEL)</t>
  </si>
  <si>
    <t>COUNT of quality notifications (QMEL) where LIFNR = vendor AND
notification category = 'L' (vendor complaint) in the measurement period.
Lower is better.</t>
  </si>
  <si>
    <t>0-1</t>
  </si>
  <si>
    <t>LAST_AUDIT_SCORE</t>
  </si>
  <si>
    <t>Custom / Ariba / Manual</t>
  </si>
  <si>
    <t>Score from the most recent vendor audit conducted by the procurement or quality team.
In SAP: stored in vendor master classification (KLAH / KSSK) or Ariba supplier profile.
Scale: 0 to 100. Typically updated annually.</t>
  </si>
  <si>
    <t>Score</t>
  </si>
  <si>
    <t>&gt;= 80</t>
  </si>
  <si>
    <t>CERTIFIED_ISO</t>
  </si>
  <si>
    <t>Vendor Master / Ariba</t>
  </si>
  <si>
    <t>Binary flag: 1 = vendor holds valid ISO 9001 or ISO 14001 certification
0 = no current certification on file.
Stored in SAP vendor master additional data or Ariba supplier qualification module.</t>
  </si>
  <si>
    <t>0/1</t>
  </si>
  <si>
    <t>1</t>
  </si>
  <si>
    <t>YEARS_AS_VENDOR</t>
  </si>
  <si>
    <t>LFA1, EKKO</t>
  </si>
  <si>
    <t>YEAR( today's date ) minus YEAR( MIN( EKKO-BEDAT ) ) for this vendor
Alternatively: YEAR( today ) minus YEAR( LFA1-ERDAT ) (vendor creation date in master).</t>
  </si>
  <si>
    <t>Years</t>
  </si>
  <si>
    <t>&gt;= 5</t>
  </si>
  <si>
    <t>RESPONSE_TIME_HRS</t>
  </si>
  <si>
    <t>Ariba / Email logs / Custom</t>
  </si>
  <si>
    <t>AVERAGE hours between PO transmission timestamp and vendor order acknowledgement.
In Ariba: measured from PO send event to order confirmation event.
In vanilla SAP: requires custom tracking via workflow or collaboration portal.</t>
  </si>
  <si>
    <t>Hours</t>
  </si>
  <si>
    <t>&lt;= 8</t>
  </si>
  <si>
    <t>E.  AI MODEL — COMPOSITE SCORE WEIGHTS (Business Logic Layer)</t>
  </si>
  <si>
    <t>KPI</t>
  </si>
  <si>
    <t>Weight</t>
  </si>
  <si>
    <t>Rationale</t>
  </si>
  <si>
    <t>Delivery Reliability %</t>
  </si>
  <si>
    <t>30%</t>
  </si>
  <si>
    <t>Most critical for production continuity. Line stoppage cost exceeds price savings.</t>
  </si>
  <si>
    <t>Quality (1 - Rejection)</t>
  </si>
  <si>
    <t>25%</t>
  </si>
  <si>
    <t>Rework and scrap cost is invisible but significant. Directly impacts manufacturing yield.</t>
  </si>
  <si>
    <t>Price Variance %</t>
  </si>
  <si>
    <t>20%</t>
  </si>
  <si>
    <t>Budget predictability. High variance signals poor pricing discipline or hidden costs.</t>
  </si>
  <si>
    <t>On-Time Delivery %</t>
  </si>
  <si>
    <t>15%</t>
  </si>
  <si>
    <t>Differentiates vendors with same reliability score. Measures consistency of first attempt.</t>
  </si>
  <si>
    <t>Invoice Accuracy %</t>
  </si>
  <si>
    <t>10%</t>
  </si>
  <si>
    <t>Finance process efficiency. Blocked invoices create AP backlog and strain vendor relationships.</t>
  </si>
  <si>
    <t>TOTAL</t>
  </si>
  <si>
    <t>100%</t>
  </si>
  <si>
    <t>Formula:  COMPOSITE_SCORE  =  (DELIVERY_RELIABILITY x 0.30)  +  ((100 - QUALITY_REJECTION) x 0.25)  +  ((100 - PRICE_VARIANCE) x 0.20)  +  (ON_TIME_DELIVERY x 0.15)  +  (INVOICE_ACCURACY x 0.10)</t>
  </si>
  <si>
    <t>LFA1_VendorMaster  —  Vendor Master — SAP Table LFA1</t>
  </si>
  <si>
    <t>SAP BTP AI PoC  |  20 records  |  Simulated S/4HANA data for demonstration purposes</t>
  </si>
  <si>
    <t>LIFNR</t>
  </si>
  <si>
    <t>NAME1</t>
  </si>
  <si>
    <t>LAND1</t>
  </si>
  <si>
    <t>ORT01</t>
  </si>
  <si>
    <t>KTOKK</t>
  </si>
  <si>
    <t>SPRAS</t>
  </si>
  <si>
    <t>WAERS</t>
  </si>
  <si>
    <t>STCD1</t>
  </si>
  <si>
    <t>BRSCH</t>
  </si>
  <si>
    <t>1000001</t>
  </si>
  <si>
    <t>Meridian Industrial Supplies Pvt Ltd</t>
  </si>
  <si>
    <t>IN</t>
  </si>
  <si>
    <t>Mumbai</t>
  </si>
  <si>
    <t>KRED</t>
  </si>
  <si>
    <t>EN</t>
  </si>
  <si>
    <t>27AACTS5678B1ZP</t>
  </si>
  <si>
    <t>MRO</t>
  </si>
  <si>
    <t>1000002</t>
  </si>
  <si>
    <t>Novalux Raw Materials Ltd</t>
  </si>
  <si>
    <t>Pune</t>
  </si>
  <si>
    <t>27AABCM1234C1ZQ</t>
  </si>
  <si>
    <t>RAW</t>
  </si>
  <si>
    <t>1000003</t>
  </si>
  <si>
    <t>Volterra Power Systems Pvt Ltd</t>
  </si>
  <si>
    <t>Bangalore</t>
  </si>
  <si>
    <t>29AABCB5678D1ZR</t>
  </si>
  <si>
    <t>ELEC</t>
  </si>
  <si>
    <t>1000004</t>
  </si>
  <si>
    <t>Stratos Control Technologies Ltd</t>
  </si>
  <si>
    <t>27AABCS9012E1ZS</t>
  </si>
  <si>
    <t>1000005</t>
  </si>
  <si>
    <t>Apex MRO Solutions Pvt Ltd</t>
  </si>
  <si>
    <t>27AABCR3456F1ZT</t>
  </si>
  <si>
    <t>1000006</t>
  </si>
  <si>
    <t>Crestline Engineering Services Ltd</t>
  </si>
  <si>
    <t>Chennai</t>
  </si>
  <si>
    <t>33AABCL7890G1ZU</t>
  </si>
  <si>
    <t>ENG</t>
  </si>
  <si>
    <t>1000007</t>
  </si>
  <si>
    <t>Ironvault Logistics and Handling</t>
  </si>
  <si>
    <t>27AABCG2345H1ZV</t>
  </si>
  <si>
    <t>1000008</t>
  </si>
  <si>
    <t>Nexigen Infrastructure Supplies</t>
  </si>
  <si>
    <t>Hyderabad</t>
  </si>
  <si>
    <t>36AABCW6789I1ZW</t>
  </si>
  <si>
    <t>IT</t>
  </si>
  <si>
    <t>1000009</t>
  </si>
  <si>
    <t>Chemara Process Materials Pvt Ltd</t>
  </si>
  <si>
    <t>Vadodara</t>
  </si>
  <si>
    <t>24AABCS0123J1ZX</t>
  </si>
  <si>
    <t>CHEM</t>
  </si>
  <si>
    <t>1000010</t>
  </si>
  <si>
    <t>Synthex Industrial Coatings Ltd</t>
  </si>
  <si>
    <t>27AABCA4567K1ZY</t>
  </si>
  <si>
    <t>1000011</t>
  </si>
  <si>
    <t>Vantara Specialty Chemicals Pvt Ltd</t>
  </si>
  <si>
    <t>27AABCB8901L1ZZ</t>
  </si>
  <si>
    <t>1000012</t>
  </si>
  <si>
    <t>Electra Drive Systems India Ltd</t>
  </si>
  <si>
    <t>29AABCA2345M1ZA</t>
  </si>
  <si>
    <t>1000013</t>
  </si>
  <si>
    <t>Precisia Instrumentation Pvt Ltd</t>
  </si>
  <si>
    <t>27AABCH6789N1ZB</t>
  </si>
  <si>
    <t>1000014</t>
  </si>
  <si>
    <t>Safeguard Industrial Products Ltd</t>
  </si>
  <si>
    <t>29AABCA0123O1ZC</t>
  </si>
  <si>
    <t>1000015</t>
  </si>
  <si>
    <t>Orbis General Supplies Pvt Ltd</t>
  </si>
  <si>
    <t>Delhi</t>
  </si>
  <si>
    <t>07AABCG4567P1ZD</t>
  </si>
  <si>
    <t>1000016</t>
  </si>
  <si>
    <t>Axlebrand Precision Bearings Ltd</t>
  </si>
  <si>
    <t>27AABCS8901Q1ZE</t>
  </si>
  <si>
    <t>MECH</t>
  </si>
  <si>
    <t>1000017</t>
  </si>
  <si>
    <t>Torqline Mechanical Components</t>
  </si>
  <si>
    <t>27AABCS2345R1ZF</t>
  </si>
  <si>
    <t>1000018</t>
  </si>
  <si>
    <t>Fluidex Motion Systems Pvt Ltd</t>
  </si>
  <si>
    <t>27AABCP6789S1ZG</t>
  </si>
  <si>
    <t>1000019</t>
  </si>
  <si>
    <t>Aerofit Pneumatic Technologies</t>
  </si>
  <si>
    <t>29AABCF0123T1ZH</t>
  </si>
  <si>
    <t>1000020</t>
  </si>
  <si>
    <t>Voltex Automation India Pvt Ltd</t>
  </si>
  <si>
    <t>27AABCE4567U1ZI</t>
  </si>
  <si>
    <t>EKKO_POHeader  —  Purchase Order Header — SAP Table EKKO</t>
  </si>
  <si>
    <t>SAP BTP AI PoC  |  30 records  |  Simulated S/4HANA data for demonstration purposes</t>
  </si>
  <si>
    <t>EBELN</t>
  </si>
  <si>
    <t>EKGRP</t>
  </si>
  <si>
    <t>BEDAT</t>
  </si>
  <si>
    <t>BUKRS</t>
  </si>
  <si>
    <t>WERKS</t>
  </si>
  <si>
    <t>BSART</t>
  </si>
  <si>
    <t>4500001001</t>
  </si>
  <si>
    <t>001</t>
  </si>
  <si>
    <t>2024-01-15</t>
  </si>
  <si>
    <t>1000</t>
  </si>
  <si>
    <t>NB</t>
  </si>
  <si>
    <t>4500001002</t>
  </si>
  <si>
    <t>2024-01-20</t>
  </si>
  <si>
    <t>4500001003</t>
  </si>
  <si>
    <t>002</t>
  </si>
  <si>
    <t>2024-02-01</t>
  </si>
  <si>
    <t>4500001004</t>
  </si>
  <si>
    <t>2024-02-10</t>
  </si>
  <si>
    <t>4500001005</t>
  </si>
  <si>
    <t>2024-02-15</t>
  </si>
  <si>
    <t>4500001006</t>
  </si>
  <si>
    <t>2024-03-01</t>
  </si>
  <si>
    <t>4500001007</t>
  </si>
  <si>
    <t>003</t>
  </si>
  <si>
    <t>2024-03-10</t>
  </si>
  <si>
    <t>4500001008</t>
  </si>
  <si>
    <t>2024-03-15</t>
  </si>
  <si>
    <t>4500001009</t>
  </si>
  <si>
    <t>2024-04-01</t>
  </si>
  <si>
    <t>4500001010</t>
  </si>
  <si>
    <t>2024-04-10</t>
  </si>
  <si>
    <t>4500001011</t>
  </si>
  <si>
    <t>004</t>
  </si>
  <si>
    <t>2024-04-15</t>
  </si>
  <si>
    <t>4500001012</t>
  </si>
  <si>
    <t>2024-05-01</t>
  </si>
  <si>
    <t>4500001013</t>
  </si>
  <si>
    <t>005</t>
  </si>
  <si>
    <t>2024-05-10</t>
  </si>
  <si>
    <t>4500001014</t>
  </si>
  <si>
    <t>2024-05-15</t>
  </si>
  <si>
    <t>4500001015</t>
  </si>
  <si>
    <t>2024-06-01</t>
  </si>
  <si>
    <t>4500001016</t>
  </si>
  <si>
    <t>2024-06-10</t>
  </si>
  <si>
    <t>4500001017</t>
  </si>
  <si>
    <t>2024-06-15</t>
  </si>
  <si>
    <t>4500001018</t>
  </si>
  <si>
    <t>2024-07-01</t>
  </si>
  <si>
    <t>4500001019</t>
  </si>
  <si>
    <t>2024-07-10</t>
  </si>
  <si>
    <t>4500001020</t>
  </si>
  <si>
    <t>2024-07-15</t>
  </si>
  <si>
    <t>4500001021</t>
  </si>
  <si>
    <t>006</t>
  </si>
  <si>
    <t>2024-08-01</t>
  </si>
  <si>
    <t>4500001022</t>
  </si>
  <si>
    <t>2024-08-10</t>
  </si>
  <si>
    <t>4500001023</t>
  </si>
  <si>
    <t>2024-08-15</t>
  </si>
  <si>
    <t>4500001024</t>
  </si>
  <si>
    <t>2024-09-01</t>
  </si>
  <si>
    <t>4500001025</t>
  </si>
  <si>
    <t>2024-09-10</t>
  </si>
  <si>
    <t>4500001026</t>
  </si>
  <si>
    <t>2024-09-15</t>
  </si>
  <si>
    <t>4500001027</t>
  </si>
  <si>
    <t>2024-10-01</t>
  </si>
  <si>
    <t>4500001028</t>
  </si>
  <si>
    <t>2024-10-10</t>
  </si>
  <si>
    <t>4500001029</t>
  </si>
  <si>
    <t>2024-10-15</t>
  </si>
  <si>
    <t>4500001030</t>
  </si>
  <si>
    <t>2024-11-01</t>
  </si>
  <si>
    <t>EKPO_POLineItem  —  Purchase Order Line Items — SAP Table EKPO</t>
  </si>
  <si>
    <t>EBELP</t>
  </si>
  <si>
    <t>MATNR</t>
  </si>
  <si>
    <t>MAKTX</t>
  </si>
  <si>
    <t>MENGE</t>
  </si>
  <si>
    <t>MEINS</t>
  </si>
  <si>
    <t>NETPR</t>
  </si>
  <si>
    <t>PEINH</t>
  </si>
  <si>
    <t>LGORT</t>
  </si>
  <si>
    <t>MATKL</t>
  </si>
  <si>
    <t>10</t>
  </si>
  <si>
    <t>MAT-MRO-001</t>
  </si>
  <si>
    <t>Industrial Bearings Type-A 6205</t>
  </si>
  <si>
    <t>100</t>
  </si>
  <si>
    <t>EA</t>
  </si>
  <si>
    <t>450.00</t>
  </si>
  <si>
    <t>0001</t>
  </si>
  <si>
    <t>MAT-RAW-001</t>
  </si>
  <si>
    <t>Cold Rolled Steel Sheet 2mm</t>
  </si>
  <si>
    <t>5000</t>
  </si>
  <si>
    <t>KG</t>
  </si>
  <si>
    <t>85.50</t>
  </si>
  <si>
    <t>MAT-ELEC-001</t>
  </si>
  <si>
    <t>Control Panel 400V Standard</t>
  </si>
  <si>
    <t>25</t>
  </si>
  <si>
    <t>12500.00</t>
  </si>
  <si>
    <t>150</t>
  </si>
  <si>
    <t>440.00</t>
  </si>
  <si>
    <t>MAT-MRO-002</t>
  </si>
  <si>
    <t>Safety Gloves Cut Resistant Level D</t>
  </si>
  <si>
    <t>500</t>
  </si>
  <si>
    <t>PR</t>
  </si>
  <si>
    <t>125.00</t>
  </si>
  <si>
    <t>MAT-ELEC-002</t>
  </si>
  <si>
    <t>Programmable Logic Controller S-Class</t>
  </si>
  <si>
    <t>45000.00</t>
  </si>
  <si>
    <t>MAT-ENG-001</t>
  </si>
  <si>
    <t>Hydraulic Pump Assembly 50HP</t>
  </si>
  <si>
    <t>5</t>
  </si>
  <si>
    <t>85000.00</t>
  </si>
  <si>
    <t>8000</t>
  </si>
  <si>
    <t>83.00</t>
  </si>
  <si>
    <t>MAT-MRO-003</t>
  </si>
  <si>
    <t>Forklift Traction Battery 48V</t>
  </si>
  <si>
    <t>8</t>
  </si>
  <si>
    <t>35000.00</t>
  </si>
  <si>
    <t>11800.00</t>
  </si>
  <si>
    <t>MAT-IT-001</t>
  </si>
  <si>
    <t>Network Switch 24 Port Managed</t>
  </si>
  <si>
    <t>15</t>
  </si>
  <si>
    <t>8500.00</t>
  </si>
  <si>
    <t>200</t>
  </si>
  <si>
    <t>435.00</t>
  </si>
  <si>
    <t>MAT-CHEM-001</t>
  </si>
  <si>
    <t>Sodium Hydroxide Lye 98pct</t>
  </si>
  <si>
    <t>2000</t>
  </si>
  <si>
    <t>55.00</t>
  </si>
  <si>
    <t>MAT-CHEM-002</t>
  </si>
  <si>
    <t>Industrial Epoxy Coating</t>
  </si>
  <si>
    <t>LT</t>
  </si>
  <si>
    <t>320.00</t>
  </si>
  <si>
    <t>800</t>
  </si>
  <si>
    <t>120.00</t>
  </si>
  <si>
    <t>MAT-CHEM-003</t>
  </si>
  <si>
    <t>Polyurethane Resin Grade B</t>
  </si>
  <si>
    <t>185.00</t>
  </si>
  <si>
    <t>MAT-ELEC-003</t>
  </si>
  <si>
    <t>Variable Frequency Drive 15KW</t>
  </si>
  <si>
    <t>12</t>
  </si>
  <si>
    <t>28000.00</t>
  </si>
  <si>
    <t>MAT-ELEC-004</t>
  </si>
  <si>
    <t>Differential Pressure Sensor</t>
  </si>
  <si>
    <t>50</t>
  </si>
  <si>
    <t>4500.00</t>
  </si>
  <si>
    <t>MAT-MRO-004</t>
  </si>
  <si>
    <t>Hard Hat Safety Helmet Type II</t>
  </si>
  <si>
    <t>850.00</t>
  </si>
  <si>
    <t>MAT-MRO-005</t>
  </si>
  <si>
    <t>Industrial Floor Cleaner Concentrate</t>
  </si>
  <si>
    <t>250.00</t>
  </si>
  <si>
    <t>MAT-MECH-001</t>
  </si>
  <si>
    <t>Precision Ball Bearing 6308</t>
  </si>
  <si>
    <t>300</t>
  </si>
  <si>
    <t>680.00</t>
  </si>
  <si>
    <t>MAT-MECH-002</t>
  </si>
  <si>
    <t>Tapered Roller Bearing Set</t>
  </si>
  <si>
    <t>920.00</t>
  </si>
  <si>
    <t>250</t>
  </si>
  <si>
    <t>430.00</t>
  </si>
  <si>
    <t>MAT-MECH-003</t>
  </si>
  <si>
    <t>Double Acting Hydraulic Cylinder</t>
  </si>
  <si>
    <t>15000.00</t>
  </si>
  <si>
    <t>MAT-MECH-004</t>
  </si>
  <si>
    <t>Solenoid Pneumatic Valve 5/2</t>
  </si>
  <si>
    <t>75</t>
  </si>
  <si>
    <t>3200.00</t>
  </si>
  <si>
    <t>6000</t>
  </si>
  <si>
    <t>82.00</t>
  </si>
  <si>
    <t>MAT-ELEC-005</t>
  </si>
  <si>
    <t>Electromagnetic Flow Transmitter</t>
  </si>
  <si>
    <t>18500.00</t>
  </si>
  <si>
    <t>118.00</t>
  </si>
  <si>
    <t>33000.00</t>
  </si>
  <si>
    <t>11500.00</t>
  </si>
  <si>
    <t>Vendor Scorecard — AI Model Input Features  |  Derived from EKKO + EKPO + EKBE + QM</t>
  </si>
  <si>
    <t>20 vendors  |  15 KPI columns  |  Aggregated at Vendor + Material Group level  |  Measurement period: 12 months</t>
  </si>
  <si>
    <t>VENDOR IDENTITY</t>
  </si>
  <si>
    <t>CATEGORY</t>
  </si>
  <si>
    <t>DELIVERY PERFORMANCE</t>
  </si>
  <si>
    <t>FINANCIALS</t>
  </si>
  <si>
    <t>QUALITY &amp; COMPLIANCE</t>
  </si>
  <si>
    <t>RELATIONSHIP METRICS</t>
  </si>
  <si>
    <t>AI COMPOSITE*</t>
  </si>
  <si>
    <t>VENDOR_NAME</t>
  </si>
  <si>
    <t>MATERIAL_GROUP</t>
  </si>
  <si>
    <t>96.5</t>
  </si>
  <si>
    <t>94.2</t>
  </si>
  <si>
    <t>1.2</t>
  </si>
  <si>
    <t>2.1</t>
  </si>
  <si>
    <t>7</t>
  </si>
  <si>
    <t>98.5</t>
  </si>
  <si>
    <t>485000</t>
  </si>
  <si>
    <t>88</t>
  </si>
  <si>
    <t>91.3</t>
  </si>
  <si>
    <t>89.5</t>
  </si>
  <si>
    <t>2.8</t>
  </si>
  <si>
    <t>4.5</t>
  </si>
  <si>
    <t>95.2</t>
  </si>
  <si>
    <t>4</t>
  </si>
  <si>
    <t>1182000</t>
  </si>
  <si>
    <t>3</t>
  </si>
  <si>
    <t>76</t>
  </si>
  <si>
    <t>98.2</t>
  </si>
  <si>
    <t>97.1</t>
  </si>
  <si>
    <t>0.5</t>
  </si>
  <si>
    <t>99.1</t>
  </si>
  <si>
    <t>477600</t>
  </si>
  <si>
    <t>0</t>
  </si>
  <si>
    <t>94</t>
  </si>
  <si>
    <t>97.8</t>
  </si>
  <si>
    <t>0.8</t>
  </si>
  <si>
    <t>1.8</t>
  </si>
  <si>
    <t>6</t>
  </si>
  <si>
    <t>98.8</t>
  </si>
  <si>
    <t>450000</t>
  </si>
  <si>
    <t>92</t>
  </si>
  <si>
    <t>14</t>
  </si>
  <si>
    <t>88.5</t>
  </si>
  <si>
    <t>86.2</t>
  </si>
  <si>
    <t>3.5</t>
  </si>
  <si>
    <t>5.2</t>
  </si>
  <si>
    <t>92.5</t>
  </si>
  <si>
    <t>292400</t>
  </si>
  <si>
    <t>72</t>
  </si>
  <si>
    <t>94.1</t>
  </si>
  <si>
    <t>92.8</t>
  </si>
  <si>
    <t>3.2</t>
  </si>
  <si>
    <t>96.8</t>
  </si>
  <si>
    <t>85000</t>
  </si>
  <si>
    <t>85</t>
  </si>
  <si>
    <t>92.6</t>
  </si>
  <si>
    <t>91.0</t>
  </si>
  <si>
    <t>3.8</t>
  </si>
  <si>
    <t>9</t>
  </si>
  <si>
    <t>94.5</t>
  </si>
  <si>
    <t>2</t>
  </si>
  <si>
    <t>368000</t>
  </si>
  <si>
    <t>80</t>
  </si>
  <si>
    <t>95.3</t>
  </si>
  <si>
    <t>93.8</t>
  </si>
  <si>
    <t>1.5</t>
  </si>
  <si>
    <t>2.5</t>
  </si>
  <si>
    <t>97.2</t>
  </si>
  <si>
    <t>127500</t>
  </si>
  <si>
    <t>87</t>
  </si>
  <si>
    <t>92.1</t>
  </si>
  <si>
    <t>2.0</t>
  </si>
  <si>
    <t>11</t>
  </si>
  <si>
    <t>95.8</t>
  </si>
  <si>
    <t>110000</t>
  </si>
  <si>
    <t>83</t>
  </si>
  <si>
    <t>90.2</t>
  </si>
  <si>
    <t>4.0</t>
  </si>
  <si>
    <t>160000</t>
  </si>
  <si>
    <t>78</t>
  </si>
  <si>
    <t>95.5</t>
  </si>
  <si>
    <t>1.0</t>
  </si>
  <si>
    <t>185000</t>
  </si>
  <si>
    <t>91</t>
  </si>
  <si>
    <t>13</t>
  </si>
  <si>
    <t>97.5</t>
  </si>
  <si>
    <t>96.2</t>
  </si>
  <si>
    <t>0.7</t>
  </si>
  <si>
    <t>336000</t>
  </si>
  <si>
    <t>93</t>
  </si>
  <si>
    <t>16</t>
  </si>
  <si>
    <t>0.4</t>
  </si>
  <si>
    <t>99.3</t>
  </si>
  <si>
    <t>225000</t>
  </si>
  <si>
    <t>95</t>
  </si>
  <si>
    <t>18</t>
  </si>
  <si>
    <t>1.1</t>
  </si>
  <si>
    <t>2.3</t>
  </si>
  <si>
    <t>170000</t>
  </si>
  <si>
    <t>89</t>
  </si>
  <si>
    <t>87.8</t>
  </si>
  <si>
    <t>3.0</t>
  </si>
  <si>
    <t>4.8</t>
  </si>
  <si>
    <t>93.2</t>
  </si>
  <si>
    <t>25000</t>
  </si>
  <si>
    <t>74</t>
  </si>
  <si>
    <t>0.3</t>
  </si>
  <si>
    <t>99.5</t>
  </si>
  <si>
    <t>204000</t>
  </si>
  <si>
    <t>96</t>
  </si>
  <si>
    <t>96.0</t>
  </si>
  <si>
    <t>0.6</t>
  </si>
  <si>
    <t>1.3</t>
  </si>
  <si>
    <t>138000</t>
  </si>
  <si>
    <t>94.8</t>
  </si>
  <si>
    <t>300000</t>
  </si>
  <si>
    <t>90</t>
  </si>
  <si>
    <t>240000</t>
  </si>
  <si>
    <t>555000</t>
  </si>
  <si>
    <t>COLOUR LEGEND</t>
  </si>
  <si>
    <t>Green  =  KPI within target / good performance</t>
  </si>
  <si>
    <t>Amber  =  KPI borderline / needs monitoring</t>
  </si>
  <si>
    <t>Red    =  KPI below threshold / action required</t>
  </si>
  <si>
    <t>* The AI Composite Score column uses the business-logic formula. The RandomForest model in AI Core uses all 11 features and learns non-linear relationships — its output will differ slightly from this formula but should correlate strongly.</t>
  </si>
  <si>
    <t>SAP BTP AI PoC  |  @SAPProcurementAI  |  Author: Nikhil Bhosale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</si>
</sst>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00C6A7"/>
      <name val="Arial"/>
      <charset val="1"/>
    </font>
    <font>
      <b/>
      <sz val="11"/>
      <color rgb="FF0070F3"/>
      <name val="Arial"/>
      <charset val="1"/>
    </font>
    <font>
      <sz val="10"/>
      <color rgb="FF1E293B"/>
      <name val="Arial"/>
      <charset val="1"/>
    </font>
    <font>
      <b/>
      <sz val="10"/>
      <color rgb="FFFFFFFF"/>
      <name val="Arial"/>
      <charset val="1"/>
    </font>
    <font>
      <b/>
      <sz val="10"/>
      <color rgb="FF1E293B"/>
      <name val="Arial"/>
      <charset val="1"/>
    </font>
    <font>
      <sz val="9"/>
      <color rgb="FF1E293B"/>
      <name val="Arial"/>
      <charset val="1"/>
    </font>
    <font>
      <b/>
      <sz val="10"/>
      <color rgb="FF0070F3"/>
      <name val="Arial"/>
      <charset val="1"/>
    </font>
    <font>
      <b/>
      <sz val="13"/>
      <color rgb="FFFFFFFF"/>
      <name val="Arial"/>
      <charset val="1"/>
    </font>
    <font>
      <sz val="9"/>
      <color rgb="FF00C6A7"/>
      <name val="Arial"/>
      <charset val="1"/>
    </font>
    <font>
      <b/>
      <sz val="9"/>
      <color rgb="FFFFFFFF"/>
      <name val="Arial"/>
      <charset val="1"/>
    </font>
    <font>
      <b/>
      <sz val="10"/>
      <color rgb="FF64748B"/>
      <name val="Arial"/>
      <charset val="1"/>
    </font>
    <font>
      <sz val="10"/>
      <color rgb="FF059669"/>
      <name val="Arial"/>
      <charset val="1"/>
    </font>
    <font>
      <sz val="10"/>
      <color rgb="FFD97706"/>
      <name val="Arial"/>
      <charset val="1"/>
    </font>
    <font>
      <sz val="10"/>
      <color rgb="FFDC2626"/>
      <name val="Arial"/>
      <charset val="1"/>
    </font>
    <font>
      <i/>
      <sz val="9"/>
      <color rgb="FF64748B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0A0F1E"/>
        <bgColor rgb="FF0D1B3E"/>
      </patternFill>
    </fill>
    <fill>
      <patternFill patternType="solid">
        <fgColor rgb="FF0D1B3E"/>
        <bgColor rgb="FF0D2257"/>
      </patternFill>
    </fill>
    <fill>
      <patternFill patternType="solid">
        <fgColor rgb="FFEEF2FF"/>
        <bgColor rgb="FFF0F4FF"/>
      </patternFill>
    </fill>
    <fill>
      <patternFill patternType="solid">
        <fgColor rgb="FF0D2257"/>
        <bgColor rgb="FF0D1B3E"/>
      </patternFill>
    </fill>
    <fill>
      <patternFill patternType="solid">
        <fgColor rgb="FFF0F4FF"/>
        <bgColor rgb="FFEEF2FF"/>
      </patternFill>
    </fill>
    <fill>
      <patternFill patternType="solid">
        <fgColor rgb="FFFFFFFF"/>
        <bgColor rgb="FFFFFBEB"/>
      </patternFill>
    </fill>
    <fill>
      <patternFill patternType="solid">
        <fgColor rgb="FFFFFBEB"/>
        <bgColor rgb="FFFFFFFF"/>
      </patternFill>
    </fill>
    <fill>
      <patternFill patternType="solid">
        <fgColor rgb="FFECFDF5"/>
        <bgColor rgb="FFF0F4FF"/>
      </patternFill>
    </fill>
    <fill>
      <patternFill patternType="solid">
        <fgColor rgb="FF1E3A5F"/>
        <bgColor rgb="FF1E293B"/>
      </patternFill>
    </fill>
    <fill>
      <patternFill patternType="solid">
        <fgColor rgb="FF1E5F3A"/>
        <bgColor rgb="FF1E3A5F"/>
      </patternFill>
    </fill>
    <fill>
      <patternFill patternType="solid">
        <fgColor rgb="FF5F1E1E"/>
        <bgColor rgb="FF3A1E5F"/>
      </patternFill>
    </fill>
    <fill>
      <patternFill patternType="solid">
        <fgColor rgb="FF3A1E5F"/>
        <bgColor rgb="FF1E293B"/>
      </patternFill>
    </fill>
    <fill>
      <patternFill patternType="solid">
        <fgColor rgb="FF0070F3"/>
        <bgColor rgb="FF3366FF"/>
      </patternFill>
    </fill>
    <fill>
      <patternFill patternType="solid">
        <fgColor rgb="FFFFE4E6"/>
        <bgColor rgb="FFEEF2FF"/>
      </patternFill>
    </fill>
  </fills>
  <borders count="3">
    <border>
      <left/>
      <right/>
      <top/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  <border>
      <left style="thin">
        <color rgb="FFC5D3E8"/>
      </left>
      <right/>
      <top style="thin">
        <color rgb="FFC5D3E8"/>
      </top>
      <bottom style="thin">
        <color rgb="FFC5D3E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3" fillId="9" borderId="0" xfId="0" applyFont="1" applyFill="1" applyAlignment="1">
      <alignment horizontal="left" vertical="center" indent="1"/>
    </xf>
    <xf numFmtId="0" fontId="12" fillId="0" borderId="0" xfId="0" applyFont="1"/>
    <xf numFmtId="0" fontId="11" fillId="13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indent="2"/>
    </xf>
    <xf numFmtId="0" fontId="9" fillId="2" borderId="0" xfId="0" applyFont="1" applyFill="1" applyAlignment="1">
      <alignment horizontal="left" vertical="center" indent="2"/>
    </xf>
    <xf numFmtId="0" fontId="8" fillId="4" borderId="0" xfId="0" applyFont="1" applyFill="1" applyAlignment="1">
      <alignment horizontal="left" vertical="center" wrapText="1" indent="1"/>
    </xf>
    <xf numFmtId="0" fontId="4" fillId="8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left" vertical="center" indent="2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textRotation="45" wrapText="1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left" vertical="center" indent="1"/>
    </xf>
    <xf numFmtId="0" fontId="15" fillId="15" borderId="0" xfId="0" applyFont="1" applyFill="1" applyAlignment="1">
      <alignment horizontal="left" vertical="center" indent="1"/>
    </xf>
    <xf numFmtId="0" fontId="1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E5F3A"/>
      <rgbColor rgb="FF0A0F1E"/>
      <rgbColor rgb="FF808000"/>
      <rgbColor rgb="FF800080"/>
      <rgbColor rgb="FF059669"/>
      <rgbColor rgb="FFC0C0C0"/>
      <rgbColor rgb="FF808080"/>
      <rgbColor rgb="FF9999FF"/>
      <rgbColor rgb="FF993366"/>
      <rgbColor rgb="FFFFFBEB"/>
      <rgbColor rgb="FFECFDF5"/>
      <rgbColor rgb="FF3A1E5F"/>
      <rgbColor rgb="FFFF8080"/>
      <rgbColor rgb="FF0070F3"/>
      <rgbColor rgb="FFC5D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6A7"/>
      <rgbColor rgb="FFEEF2FF"/>
      <rgbColor rgb="FFF0F4FF"/>
      <rgbColor rgb="FFFFFF99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0D2257"/>
      <rgbColor rgb="FF339966"/>
      <rgbColor rgb="FF0D1B3E"/>
      <rgbColor rgb="FF5F1E1E"/>
      <rgbColor rgb="FF993300"/>
      <rgbColor rgb="FF993366"/>
      <rgbColor rgb="FF1E3A5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zoomScaleNormal="100" workbookViewId="0">
      <pane ySplit="2" topLeftCell="A12" activePane="bottomLeft" state="frozen"/>
      <selection pane="bottomLeft" activeCell="E21" sqref="E21"/>
    </sheetView>
  </sheetViews>
  <sheetFormatPr defaultColWidth="8.6328125" defaultRowHeight="14.5" x14ac:dyDescent="0.35"/>
  <cols>
    <col min="1" max="2" width="28" customWidth="1"/>
    <col min="3" max="3" width="60" customWidth="1"/>
    <col min="4" max="4" width="10" customWidth="1"/>
    <col min="5" max="5" width="16" customWidth="1"/>
    <col min="6" max="8" width="10" customWidth="1"/>
  </cols>
  <sheetData>
    <row r="1" spans="1:8" ht="60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1.75" customHeight="1" x14ac:dyDescent="0.35">
      <c r="A2" s="13" t="s">
        <v>504</v>
      </c>
      <c r="B2" s="13"/>
      <c r="C2" s="13"/>
      <c r="D2" s="13"/>
      <c r="E2" s="13"/>
      <c r="F2" s="13"/>
      <c r="G2" s="13"/>
      <c r="H2" s="13"/>
    </row>
    <row r="4" spans="1:8" ht="24" customHeight="1" x14ac:dyDescent="0.35">
      <c r="A4" s="12" t="s">
        <v>1</v>
      </c>
      <c r="B4" s="12"/>
      <c r="C4" s="12"/>
      <c r="D4" s="12"/>
      <c r="E4" s="12"/>
      <c r="F4" s="12"/>
      <c r="G4" s="12"/>
      <c r="H4" s="12"/>
    </row>
    <row r="5" spans="1:8" ht="60" customHeight="1" x14ac:dyDescent="0.35">
      <c r="A5" s="11" t="s">
        <v>2</v>
      </c>
      <c r="B5" s="11"/>
      <c r="C5" s="11"/>
      <c r="D5" s="11"/>
      <c r="E5" s="11"/>
      <c r="F5" s="11"/>
      <c r="G5" s="11"/>
      <c r="H5" s="11"/>
    </row>
    <row r="7" spans="1:8" ht="24" customHeight="1" x14ac:dyDescent="0.35">
      <c r="A7" s="12" t="s">
        <v>3</v>
      </c>
      <c r="B7" s="12"/>
      <c r="C7" s="12"/>
      <c r="D7" s="12"/>
      <c r="E7" s="12"/>
      <c r="F7" s="12"/>
      <c r="G7" s="12"/>
      <c r="H7" s="12"/>
    </row>
    <row r="8" spans="1:8" ht="19.5" customHeight="1" x14ac:dyDescent="0.35">
      <c r="A8" s="15" t="s">
        <v>4</v>
      </c>
      <c r="B8" s="15" t="s">
        <v>5</v>
      </c>
      <c r="C8" s="15" t="s">
        <v>6</v>
      </c>
      <c r="D8" s="15" t="s">
        <v>7</v>
      </c>
    </row>
    <row r="9" spans="1:8" ht="30" customHeight="1" x14ac:dyDescent="0.35">
      <c r="A9" s="16" t="s">
        <v>8</v>
      </c>
      <c r="B9" s="16" t="s">
        <v>9</v>
      </c>
      <c r="C9" s="16" t="s">
        <v>10</v>
      </c>
      <c r="D9" s="16" t="s">
        <v>11</v>
      </c>
    </row>
    <row r="10" spans="1:8" ht="30" customHeight="1" x14ac:dyDescent="0.35">
      <c r="A10" s="17" t="s">
        <v>12</v>
      </c>
      <c r="B10" s="17" t="s">
        <v>13</v>
      </c>
      <c r="C10" s="17" t="s">
        <v>14</v>
      </c>
      <c r="D10" s="17" t="s">
        <v>15</v>
      </c>
    </row>
    <row r="11" spans="1:8" ht="30" customHeight="1" x14ac:dyDescent="0.35">
      <c r="A11" s="16" t="s">
        <v>16</v>
      </c>
      <c r="B11" s="16" t="s">
        <v>17</v>
      </c>
      <c r="C11" s="16" t="s">
        <v>18</v>
      </c>
      <c r="D11" s="16" t="s">
        <v>19</v>
      </c>
    </row>
    <row r="12" spans="1:8" ht="30" customHeight="1" x14ac:dyDescent="0.35">
      <c r="A12" s="17" t="s">
        <v>20</v>
      </c>
      <c r="B12" s="17" t="s">
        <v>21</v>
      </c>
      <c r="C12" s="17" t="s">
        <v>22</v>
      </c>
      <c r="D12" s="17" t="s">
        <v>19</v>
      </c>
    </row>
    <row r="13" spans="1:8" ht="30" customHeight="1" x14ac:dyDescent="0.35">
      <c r="A13" s="16" t="s">
        <v>23</v>
      </c>
      <c r="B13" s="16" t="s">
        <v>24</v>
      </c>
      <c r="C13" s="16" t="s">
        <v>25</v>
      </c>
      <c r="D13" s="16" t="s">
        <v>15</v>
      </c>
    </row>
    <row r="15" spans="1:8" ht="24" customHeight="1" x14ac:dyDescent="0.35">
      <c r="A15" s="12" t="s">
        <v>26</v>
      </c>
      <c r="B15" s="12"/>
      <c r="C15" s="12"/>
      <c r="D15" s="12"/>
      <c r="E15" s="12"/>
      <c r="F15" s="12"/>
      <c r="G15" s="12"/>
      <c r="H15" s="12"/>
    </row>
    <row r="16" spans="1:8" ht="159.75" customHeight="1" x14ac:dyDescent="0.35">
      <c r="A16" s="10" t="s">
        <v>27</v>
      </c>
      <c r="B16" s="10"/>
      <c r="C16" s="10"/>
      <c r="D16" s="10"/>
      <c r="E16" s="10"/>
      <c r="F16" s="10"/>
      <c r="G16" s="10"/>
      <c r="H16" s="10"/>
    </row>
    <row r="18" spans="1:8" ht="24" customHeight="1" x14ac:dyDescent="0.35">
      <c r="A18" s="12" t="s">
        <v>28</v>
      </c>
      <c r="B18" s="12"/>
      <c r="C18" s="12"/>
      <c r="D18" s="12"/>
      <c r="E18" s="12"/>
      <c r="F18" s="12"/>
      <c r="G18" s="12"/>
      <c r="H18" s="12"/>
    </row>
    <row r="19" spans="1:8" ht="19.5" customHeight="1" x14ac:dyDescent="0.35">
      <c r="A19" s="15" t="s">
        <v>29</v>
      </c>
      <c r="B19" s="15" t="s">
        <v>30</v>
      </c>
      <c r="C19" s="15" t="s">
        <v>31</v>
      </c>
      <c r="D19" s="15" t="s">
        <v>32</v>
      </c>
      <c r="E19" s="15" t="s">
        <v>33</v>
      </c>
    </row>
    <row r="20" spans="1:8" ht="64.5" customHeight="1" x14ac:dyDescent="0.35">
      <c r="A20" s="18" t="s">
        <v>34</v>
      </c>
      <c r="B20" s="17" t="s">
        <v>35</v>
      </c>
      <c r="C20" s="19" t="s">
        <v>36</v>
      </c>
      <c r="D20" s="17" t="s">
        <v>37</v>
      </c>
      <c r="E20" s="17" t="s">
        <v>38</v>
      </c>
    </row>
    <row r="21" spans="1:8" ht="64.5" customHeight="1" x14ac:dyDescent="0.35">
      <c r="A21" s="20" t="s">
        <v>39</v>
      </c>
      <c r="B21" s="21" t="s">
        <v>35</v>
      </c>
      <c r="C21" s="22" t="s">
        <v>40</v>
      </c>
      <c r="D21" s="21" t="s">
        <v>37</v>
      </c>
      <c r="E21" s="21" t="s">
        <v>41</v>
      </c>
    </row>
    <row r="22" spans="1:8" ht="64.5" customHeight="1" x14ac:dyDescent="0.35">
      <c r="A22" s="18" t="s">
        <v>42</v>
      </c>
      <c r="B22" s="17" t="s">
        <v>43</v>
      </c>
      <c r="C22" s="19" t="s">
        <v>44</v>
      </c>
      <c r="D22" s="17" t="s">
        <v>37</v>
      </c>
      <c r="E22" s="17" t="s">
        <v>45</v>
      </c>
    </row>
    <row r="23" spans="1:8" ht="64.5" customHeight="1" x14ac:dyDescent="0.35">
      <c r="A23" s="20" t="s">
        <v>46</v>
      </c>
      <c r="B23" s="21" t="s">
        <v>47</v>
      </c>
      <c r="C23" s="22" t="s">
        <v>48</v>
      </c>
      <c r="D23" s="21" t="s">
        <v>37</v>
      </c>
      <c r="E23" s="21" t="s">
        <v>49</v>
      </c>
    </row>
    <row r="24" spans="1:8" ht="64.5" customHeight="1" x14ac:dyDescent="0.35">
      <c r="A24" s="18" t="s">
        <v>50</v>
      </c>
      <c r="B24" s="17" t="s">
        <v>51</v>
      </c>
      <c r="C24" s="19" t="s">
        <v>52</v>
      </c>
      <c r="D24" s="17" t="s">
        <v>53</v>
      </c>
      <c r="E24" s="17" t="s">
        <v>54</v>
      </c>
    </row>
    <row r="25" spans="1:8" ht="64.5" customHeight="1" x14ac:dyDescent="0.35">
      <c r="A25" s="20" t="s">
        <v>55</v>
      </c>
      <c r="B25" s="21" t="s">
        <v>56</v>
      </c>
      <c r="C25" s="22" t="s">
        <v>57</v>
      </c>
      <c r="D25" s="21" t="s">
        <v>37</v>
      </c>
      <c r="E25" s="21" t="s">
        <v>58</v>
      </c>
    </row>
    <row r="26" spans="1:8" ht="64.5" customHeight="1" x14ac:dyDescent="0.35">
      <c r="A26" s="18" t="s">
        <v>59</v>
      </c>
      <c r="B26" s="17" t="s">
        <v>17</v>
      </c>
      <c r="C26" s="19" t="s">
        <v>60</v>
      </c>
      <c r="D26" s="17" t="s">
        <v>61</v>
      </c>
      <c r="E26" s="17" t="s">
        <v>9</v>
      </c>
    </row>
    <row r="27" spans="1:8" ht="64.5" customHeight="1" x14ac:dyDescent="0.35">
      <c r="A27" s="20" t="s">
        <v>62</v>
      </c>
      <c r="B27" s="21" t="s">
        <v>21</v>
      </c>
      <c r="C27" s="22" t="s">
        <v>63</v>
      </c>
      <c r="D27" s="21" t="s">
        <v>64</v>
      </c>
      <c r="E27" s="21" t="s">
        <v>9</v>
      </c>
    </row>
    <row r="28" spans="1:8" ht="64.5" customHeight="1" x14ac:dyDescent="0.35">
      <c r="A28" s="18" t="s">
        <v>65</v>
      </c>
      <c r="B28" s="17" t="s">
        <v>66</v>
      </c>
      <c r="C28" s="19" t="s">
        <v>67</v>
      </c>
      <c r="D28" s="17" t="s">
        <v>61</v>
      </c>
      <c r="E28" s="17" t="s">
        <v>68</v>
      </c>
    </row>
    <row r="29" spans="1:8" ht="64.5" customHeight="1" x14ac:dyDescent="0.35">
      <c r="A29" s="20" t="s">
        <v>69</v>
      </c>
      <c r="B29" s="21" t="s">
        <v>70</v>
      </c>
      <c r="C29" s="22" t="s">
        <v>71</v>
      </c>
      <c r="D29" s="21" t="s">
        <v>72</v>
      </c>
      <c r="E29" s="21" t="s">
        <v>73</v>
      </c>
    </row>
    <row r="30" spans="1:8" ht="64.5" customHeight="1" x14ac:dyDescent="0.35">
      <c r="A30" s="18" t="s">
        <v>74</v>
      </c>
      <c r="B30" s="17" t="s">
        <v>75</v>
      </c>
      <c r="C30" s="19" t="s">
        <v>76</v>
      </c>
      <c r="D30" s="17" t="s">
        <v>77</v>
      </c>
      <c r="E30" s="17" t="s">
        <v>78</v>
      </c>
    </row>
    <row r="31" spans="1:8" ht="64.5" customHeight="1" x14ac:dyDescent="0.35">
      <c r="A31" s="20" t="s">
        <v>79</v>
      </c>
      <c r="B31" s="21" t="s">
        <v>80</v>
      </c>
      <c r="C31" s="22" t="s">
        <v>81</v>
      </c>
      <c r="D31" s="21" t="s">
        <v>82</v>
      </c>
      <c r="E31" s="21" t="s">
        <v>83</v>
      </c>
    </row>
    <row r="32" spans="1:8" ht="64.5" customHeight="1" x14ac:dyDescent="0.35">
      <c r="A32" s="18" t="s">
        <v>84</v>
      </c>
      <c r="B32" s="17" t="s">
        <v>85</v>
      </c>
      <c r="C32" s="19" t="s">
        <v>86</v>
      </c>
      <c r="D32" s="17" t="s">
        <v>87</v>
      </c>
      <c r="E32" s="17" t="s">
        <v>88</v>
      </c>
    </row>
    <row r="34" spans="1:8" ht="24" customHeight="1" x14ac:dyDescent="0.35">
      <c r="A34" s="12" t="s">
        <v>89</v>
      </c>
      <c r="B34" s="12"/>
      <c r="C34" s="12"/>
      <c r="D34" s="12"/>
      <c r="E34" s="12"/>
      <c r="F34" s="12"/>
      <c r="G34" s="12"/>
      <c r="H34" s="12"/>
    </row>
    <row r="35" spans="1:8" ht="19.5" customHeight="1" x14ac:dyDescent="0.35">
      <c r="A35" s="15" t="s">
        <v>90</v>
      </c>
      <c r="B35" s="15" t="s">
        <v>91</v>
      </c>
      <c r="C35" s="15" t="s">
        <v>92</v>
      </c>
    </row>
    <row r="36" spans="1:8" ht="30" customHeight="1" x14ac:dyDescent="0.35">
      <c r="A36" s="17" t="s">
        <v>93</v>
      </c>
      <c r="B36" s="17" t="s">
        <v>94</v>
      </c>
      <c r="C36" s="17" t="s">
        <v>95</v>
      </c>
    </row>
    <row r="37" spans="1:8" ht="30" customHeight="1" x14ac:dyDescent="0.35">
      <c r="A37" s="16" t="s">
        <v>96</v>
      </c>
      <c r="B37" s="16" t="s">
        <v>97</v>
      </c>
      <c r="C37" s="16" t="s">
        <v>98</v>
      </c>
    </row>
    <row r="38" spans="1:8" ht="30" customHeight="1" x14ac:dyDescent="0.35">
      <c r="A38" s="17" t="s">
        <v>99</v>
      </c>
      <c r="B38" s="17" t="s">
        <v>100</v>
      </c>
      <c r="C38" s="17" t="s">
        <v>101</v>
      </c>
    </row>
    <row r="39" spans="1:8" ht="30" customHeight="1" x14ac:dyDescent="0.35">
      <c r="A39" s="16" t="s">
        <v>102</v>
      </c>
      <c r="B39" s="16" t="s">
        <v>103</v>
      </c>
      <c r="C39" s="16" t="s">
        <v>104</v>
      </c>
    </row>
    <row r="40" spans="1:8" ht="30" customHeight="1" x14ac:dyDescent="0.35">
      <c r="A40" s="17" t="s">
        <v>105</v>
      </c>
      <c r="B40" s="17" t="s">
        <v>106</v>
      </c>
      <c r="C40" s="17" t="s">
        <v>107</v>
      </c>
    </row>
    <row r="41" spans="1:8" ht="30" customHeight="1" x14ac:dyDescent="0.35">
      <c r="A41" s="23" t="s">
        <v>108</v>
      </c>
      <c r="B41" s="23" t="s">
        <v>109</v>
      </c>
      <c r="C41" s="23"/>
    </row>
    <row r="42" spans="1:8" ht="34.5" customHeight="1" x14ac:dyDescent="0.35">
      <c r="A42" s="9" t="s">
        <v>110</v>
      </c>
      <c r="B42" s="9"/>
      <c r="C42" s="9"/>
      <c r="D42" s="9"/>
      <c r="E42" s="9"/>
      <c r="F42" s="9"/>
      <c r="G42" s="9"/>
      <c r="H42" s="9"/>
    </row>
  </sheetData>
  <mergeCells count="10">
    <mergeCell ref="A15:H15"/>
    <mergeCell ref="A16:H16"/>
    <mergeCell ref="A18:H18"/>
    <mergeCell ref="A34:H34"/>
    <mergeCell ref="A42:H42"/>
    <mergeCell ref="A1:H1"/>
    <mergeCell ref="A2:H2"/>
    <mergeCell ref="A4:H4"/>
    <mergeCell ref="A5:H5"/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tabSelected="1" zoomScaleNormal="100" workbookViewId="0">
      <selection sqref="A1:I1"/>
    </sheetView>
  </sheetViews>
  <sheetFormatPr defaultColWidth="8.6328125" defaultRowHeight="14.5" x14ac:dyDescent="0.35"/>
  <cols>
    <col min="1" max="1" width="14" customWidth="1"/>
    <col min="2" max="2" width="32" customWidth="1"/>
    <col min="3" max="3" width="8" customWidth="1"/>
    <col min="4" max="4" width="14" customWidth="1"/>
    <col min="5" max="6" width="8" customWidth="1"/>
    <col min="7" max="7" width="12" customWidth="1"/>
    <col min="8" max="8" width="26" customWidth="1"/>
    <col min="9" max="9" width="10" customWidth="1"/>
  </cols>
  <sheetData>
    <row r="1" spans="1:9" ht="36" customHeight="1" x14ac:dyDescent="0.35">
      <c r="A1" s="8" t="s">
        <v>111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35">
      <c r="A2" s="7" t="s">
        <v>112</v>
      </c>
      <c r="B2" s="7"/>
      <c r="C2" s="7"/>
      <c r="D2" s="7"/>
      <c r="E2" s="7"/>
      <c r="F2" s="7"/>
      <c r="G2" s="7"/>
      <c r="H2" s="7"/>
      <c r="I2" s="7"/>
    </row>
    <row r="3" spans="1:9" ht="21.75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5" t="s">
        <v>117</v>
      </c>
      <c r="F3" s="15" t="s">
        <v>118</v>
      </c>
      <c r="G3" s="15" t="s">
        <v>119</v>
      </c>
      <c r="H3" s="15" t="s">
        <v>120</v>
      </c>
      <c r="I3" s="15" t="s">
        <v>121</v>
      </c>
    </row>
    <row r="4" spans="1:9" ht="18" customHeight="1" x14ac:dyDescent="0.35">
      <c r="A4" s="24" t="s">
        <v>122</v>
      </c>
      <c r="B4" s="24" t="s">
        <v>123</v>
      </c>
      <c r="C4" s="24" t="s">
        <v>124</v>
      </c>
      <c r="D4" s="24" t="s">
        <v>125</v>
      </c>
      <c r="E4" s="24" t="s">
        <v>126</v>
      </c>
      <c r="F4" s="24" t="s">
        <v>127</v>
      </c>
      <c r="G4" s="24" t="s">
        <v>64</v>
      </c>
      <c r="H4" s="24" t="s">
        <v>128</v>
      </c>
      <c r="I4" s="24" t="s">
        <v>129</v>
      </c>
    </row>
    <row r="5" spans="1:9" ht="18" customHeight="1" x14ac:dyDescent="0.35">
      <c r="A5" s="25" t="s">
        <v>130</v>
      </c>
      <c r="B5" s="25" t="s">
        <v>131</v>
      </c>
      <c r="C5" s="25" t="s">
        <v>124</v>
      </c>
      <c r="D5" s="25" t="s">
        <v>132</v>
      </c>
      <c r="E5" s="25" t="s">
        <v>126</v>
      </c>
      <c r="F5" s="25" t="s">
        <v>127</v>
      </c>
      <c r="G5" s="25" t="s">
        <v>64</v>
      </c>
      <c r="H5" s="25" t="s">
        <v>133</v>
      </c>
      <c r="I5" s="25" t="s">
        <v>134</v>
      </c>
    </row>
    <row r="6" spans="1:9" ht="18" customHeight="1" x14ac:dyDescent="0.35">
      <c r="A6" s="24" t="s">
        <v>135</v>
      </c>
      <c r="B6" s="24" t="s">
        <v>136</v>
      </c>
      <c r="C6" s="24" t="s">
        <v>124</v>
      </c>
      <c r="D6" s="24" t="s">
        <v>137</v>
      </c>
      <c r="E6" s="24" t="s">
        <v>126</v>
      </c>
      <c r="F6" s="24" t="s">
        <v>127</v>
      </c>
      <c r="G6" s="24" t="s">
        <v>64</v>
      </c>
      <c r="H6" s="24" t="s">
        <v>138</v>
      </c>
      <c r="I6" s="24" t="s">
        <v>139</v>
      </c>
    </row>
    <row r="7" spans="1:9" ht="18" customHeight="1" x14ac:dyDescent="0.35">
      <c r="A7" s="25" t="s">
        <v>140</v>
      </c>
      <c r="B7" s="25" t="s">
        <v>141</v>
      </c>
      <c r="C7" s="25" t="s">
        <v>124</v>
      </c>
      <c r="D7" s="25" t="s">
        <v>125</v>
      </c>
      <c r="E7" s="25" t="s">
        <v>126</v>
      </c>
      <c r="F7" s="25" t="s">
        <v>127</v>
      </c>
      <c r="G7" s="25" t="s">
        <v>64</v>
      </c>
      <c r="H7" s="25" t="s">
        <v>142</v>
      </c>
      <c r="I7" s="25" t="s">
        <v>139</v>
      </c>
    </row>
    <row r="8" spans="1:9" ht="18" customHeight="1" x14ac:dyDescent="0.35">
      <c r="A8" s="24" t="s">
        <v>143</v>
      </c>
      <c r="B8" s="24" t="s">
        <v>144</v>
      </c>
      <c r="C8" s="24" t="s">
        <v>124</v>
      </c>
      <c r="D8" s="24" t="s">
        <v>132</v>
      </c>
      <c r="E8" s="24" t="s">
        <v>126</v>
      </c>
      <c r="F8" s="24" t="s">
        <v>127</v>
      </c>
      <c r="G8" s="24" t="s">
        <v>64</v>
      </c>
      <c r="H8" s="24" t="s">
        <v>145</v>
      </c>
      <c r="I8" s="24" t="s">
        <v>129</v>
      </c>
    </row>
    <row r="9" spans="1:9" ht="18" customHeight="1" x14ac:dyDescent="0.35">
      <c r="A9" s="25" t="s">
        <v>146</v>
      </c>
      <c r="B9" s="25" t="s">
        <v>147</v>
      </c>
      <c r="C9" s="25" t="s">
        <v>124</v>
      </c>
      <c r="D9" s="25" t="s">
        <v>148</v>
      </c>
      <c r="E9" s="25" t="s">
        <v>126</v>
      </c>
      <c r="F9" s="25" t="s">
        <v>127</v>
      </c>
      <c r="G9" s="25" t="s">
        <v>64</v>
      </c>
      <c r="H9" s="25" t="s">
        <v>149</v>
      </c>
      <c r="I9" s="25" t="s">
        <v>150</v>
      </c>
    </row>
    <row r="10" spans="1:9" ht="18" customHeight="1" x14ac:dyDescent="0.35">
      <c r="A10" s="24" t="s">
        <v>151</v>
      </c>
      <c r="B10" s="24" t="s">
        <v>152</v>
      </c>
      <c r="C10" s="24" t="s">
        <v>124</v>
      </c>
      <c r="D10" s="24" t="s">
        <v>125</v>
      </c>
      <c r="E10" s="24" t="s">
        <v>126</v>
      </c>
      <c r="F10" s="24" t="s">
        <v>127</v>
      </c>
      <c r="G10" s="24" t="s">
        <v>64</v>
      </c>
      <c r="H10" s="24" t="s">
        <v>153</v>
      </c>
      <c r="I10" s="24" t="s">
        <v>129</v>
      </c>
    </row>
    <row r="11" spans="1:9" ht="18" customHeight="1" x14ac:dyDescent="0.35">
      <c r="A11" s="25" t="s">
        <v>154</v>
      </c>
      <c r="B11" s="25" t="s">
        <v>155</v>
      </c>
      <c r="C11" s="25" t="s">
        <v>124</v>
      </c>
      <c r="D11" s="25" t="s">
        <v>156</v>
      </c>
      <c r="E11" s="25" t="s">
        <v>126</v>
      </c>
      <c r="F11" s="25" t="s">
        <v>127</v>
      </c>
      <c r="G11" s="25" t="s">
        <v>64</v>
      </c>
      <c r="H11" s="25" t="s">
        <v>157</v>
      </c>
      <c r="I11" s="25" t="s">
        <v>158</v>
      </c>
    </row>
    <row r="12" spans="1:9" ht="18" customHeight="1" x14ac:dyDescent="0.35">
      <c r="A12" s="24" t="s">
        <v>159</v>
      </c>
      <c r="B12" s="24" t="s">
        <v>160</v>
      </c>
      <c r="C12" s="24" t="s">
        <v>124</v>
      </c>
      <c r="D12" s="24" t="s">
        <v>161</v>
      </c>
      <c r="E12" s="24" t="s">
        <v>126</v>
      </c>
      <c r="F12" s="24" t="s">
        <v>127</v>
      </c>
      <c r="G12" s="24" t="s">
        <v>64</v>
      </c>
      <c r="H12" s="24" t="s">
        <v>162</v>
      </c>
      <c r="I12" s="24" t="s">
        <v>163</v>
      </c>
    </row>
    <row r="13" spans="1:9" ht="18" customHeight="1" x14ac:dyDescent="0.35">
      <c r="A13" s="25" t="s">
        <v>164</v>
      </c>
      <c r="B13" s="25" t="s">
        <v>165</v>
      </c>
      <c r="C13" s="25" t="s">
        <v>124</v>
      </c>
      <c r="D13" s="25" t="s">
        <v>125</v>
      </c>
      <c r="E13" s="25" t="s">
        <v>126</v>
      </c>
      <c r="F13" s="25" t="s">
        <v>127</v>
      </c>
      <c r="G13" s="25" t="s">
        <v>64</v>
      </c>
      <c r="H13" s="25" t="s">
        <v>166</v>
      </c>
      <c r="I13" s="25" t="s">
        <v>163</v>
      </c>
    </row>
    <row r="14" spans="1:9" ht="18" customHeight="1" x14ac:dyDescent="0.35">
      <c r="A14" s="24" t="s">
        <v>167</v>
      </c>
      <c r="B14" s="24" t="s">
        <v>168</v>
      </c>
      <c r="C14" s="24" t="s">
        <v>124</v>
      </c>
      <c r="D14" s="24" t="s">
        <v>125</v>
      </c>
      <c r="E14" s="24" t="s">
        <v>126</v>
      </c>
      <c r="F14" s="24" t="s">
        <v>127</v>
      </c>
      <c r="G14" s="24" t="s">
        <v>64</v>
      </c>
      <c r="H14" s="24" t="s">
        <v>169</v>
      </c>
      <c r="I14" s="24" t="s">
        <v>163</v>
      </c>
    </row>
    <row r="15" spans="1:9" ht="18" customHeight="1" x14ac:dyDescent="0.35">
      <c r="A15" s="25" t="s">
        <v>170</v>
      </c>
      <c r="B15" s="25" t="s">
        <v>171</v>
      </c>
      <c r="C15" s="25" t="s">
        <v>124</v>
      </c>
      <c r="D15" s="25" t="s">
        <v>137</v>
      </c>
      <c r="E15" s="25" t="s">
        <v>126</v>
      </c>
      <c r="F15" s="25" t="s">
        <v>127</v>
      </c>
      <c r="G15" s="25" t="s">
        <v>64</v>
      </c>
      <c r="H15" s="25" t="s">
        <v>172</v>
      </c>
      <c r="I15" s="25" t="s">
        <v>139</v>
      </c>
    </row>
    <row r="16" spans="1:9" ht="18" customHeight="1" x14ac:dyDescent="0.35">
      <c r="A16" s="24" t="s">
        <v>173</v>
      </c>
      <c r="B16" s="24" t="s">
        <v>174</v>
      </c>
      <c r="C16" s="24" t="s">
        <v>124</v>
      </c>
      <c r="D16" s="24" t="s">
        <v>132</v>
      </c>
      <c r="E16" s="24" t="s">
        <v>126</v>
      </c>
      <c r="F16" s="24" t="s">
        <v>127</v>
      </c>
      <c r="G16" s="24" t="s">
        <v>64</v>
      </c>
      <c r="H16" s="24" t="s">
        <v>175</v>
      </c>
      <c r="I16" s="24" t="s">
        <v>139</v>
      </c>
    </row>
    <row r="17" spans="1:9" ht="18" customHeight="1" x14ac:dyDescent="0.35">
      <c r="A17" s="25" t="s">
        <v>176</v>
      </c>
      <c r="B17" s="25" t="s">
        <v>177</v>
      </c>
      <c r="C17" s="25" t="s">
        <v>124</v>
      </c>
      <c r="D17" s="25" t="s">
        <v>137</v>
      </c>
      <c r="E17" s="25" t="s">
        <v>126</v>
      </c>
      <c r="F17" s="25" t="s">
        <v>127</v>
      </c>
      <c r="G17" s="25" t="s">
        <v>64</v>
      </c>
      <c r="H17" s="25" t="s">
        <v>178</v>
      </c>
      <c r="I17" s="25" t="s">
        <v>129</v>
      </c>
    </row>
    <row r="18" spans="1:9" ht="18" customHeight="1" x14ac:dyDescent="0.35">
      <c r="A18" s="24" t="s">
        <v>179</v>
      </c>
      <c r="B18" s="24" t="s">
        <v>180</v>
      </c>
      <c r="C18" s="24" t="s">
        <v>124</v>
      </c>
      <c r="D18" s="24" t="s">
        <v>181</v>
      </c>
      <c r="E18" s="24" t="s">
        <v>126</v>
      </c>
      <c r="F18" s="24" t="s">
        <v>127</v>
      </c>
      <c r="G18" s="24" t="s">
        <v>64</v>
      </c>
      <c r="H18" s="24" t="s">
        <v>182</v>
      </c>
      <c r="I18" s="24" t="s">
        <v>129</v>
      </c>
    </row>
    <row r="19" spans="1:9" ht="18" customHeight="1" x14ac:dyDescent="0.35">
      <c r="A19" s="25" t="s">
        <v>183</v>
      </c>
      <c r="B19" s="25" t="s">
        <v>184</v>
      </c>
      <c r="C19" s="25" t="s">
        <v>124</v>
      </c>
      <c r="D19" s="25" t="s">
        <v>132</v>
      </c>
      <c r="E19" s="25" t="s">
        <v>126</v>
      </c>
      <c r="F19" s="25" t="s">
        <v>127</v>
      </c>
      <c r="G19" s="25" t="s">
        <v>64</v>
      </c>
      <c r="H19" s="25" t="s">
        <v>185</v>
      </c>
      <c r="I19" s="25" t="s">
        <v>186</v>
      </c>
    </row>
    <row r="20" spans="1:9" ht="18" customHeight="1" x14ac:dyDescent="0.35">
      <c r="A20" s="24" t="s">
        <v>187</v>
      </c>
      <c r="B20" s="24" t="s">
        <v>188</v>
      </c>
      <c r="C20" s="24" t="s">
        <v>124</v>
      </c>
      <c r="D20" s="24" t="s">
        <v>132</v>
      </c>
      <c r="E20" s="24" t="s">
        <v>126</v>
      </c>
      <c r="F20" s="24" t="s">
        <v>127</v>
      </c>
      <c r="G20" s="24" t="s">
        <v>64</v>
      </c>
      <c r="H20" s="24" t="s">
        <v>189</v>
      </c>
      <c r="I20" s="24" t="s">
        <v>186</v>
      </c>
    </row>
    <row r="21" spans="1:9" ht="18" customHeight="1" x14ac:dyDescent="0.35">
      <c r="A21" s="25" t="s">
        <v>190</v>
      </c>
      <c r="B21" s="25" t="s">
        <v>191</v>
      </c>
      <c r="C21" s="25" t="s">
        <v>124</v>
      </c>
      <c r="D21" s="25" t="s">
        <v>125</v>
      </c>
      <c r="E21" s="25" t="s">
        <v>126</v>
      </c>
      <c r="F21" s="25" t="s">
        <v>127</v>
      </c>
      <c r="G21" s="25" t="s">
        <v>64</v>
      </c>
      <c r="H21" s="25" t="s">
        <v>192</v>
      </c>
      <c r="I21" s="25" t="s">
        <v>186</v>
      </c>
    </row>
    <row r="22" spans="1:9" ht="18" customHeight="1" x14ac:dyDescent="0.35">
      <c r="A22" s="24" t="s">
        <v>193</v>
      </c>
      <c r="B22" s="24" t="s">
        <v>194</v>
      </c>
      <c r="C22" s="24" t="s">
        <v>124</v>
      </c>
      <c r="D22" s="24" t="s">
        <v>137</v>
      </c>
      <c r="E22" s="24" t="s">
        <v>126</v>
      </c>
      <c r="F22" s="24" t="s">
        <v>127</v>
      </c>
      <c r="G22" s="24" t="s">
        <v>64</v>
      </c>
      <c r="H22" s="24" t="s">
        <v>195</v>
      </c>
      <c r="I22" s="24" t="s">
        <v>186</v>
      </c>
    </row>
    <row r="23" spans="1:9" ht="18" customHeight="1" x14ac:dyDescent="0.35">
      <c r="A23" s="25" t="s">
        <v>196</v>
      </c>
      <c r="B23" s="25" t="s">
        <v>197</v>
      </c>
      <c r="C23" s="25" t="s">
        <v>124</v>
      </c>
      <c r="D23" s="25" t="s">
        <v>125</v>
      </c>
      <c r="E23" s="25" t="s">
        <v>126</v>
      </c>
      <c r="F23" s="25" t="s">
        <v>127</v>
      </c>
      <c r="G23" s="25" t="s">
        <v>64</v>
      </c>
      <c r="H23" s="25" t="s">
        <v>198</v>
      </c>
      <c r="I23" s="25" t="s">
        <v>139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zoomScaleNormal="100" workbookViewId="0">
      <pane ySplit="3" topLeftCell="A4" activePane="bottomLeft" state="frozen"/>
      <selection pane="bottomLeft" sqref="A1:H1"/>
    </sheetView>
  </sheetViews>
  <sheetFormatPr defaultColWidth="8.6328125" defaultRowHeight="14.5" x14ac:dyDescent="0.35"/>
  <cols>
    <col min="1" max="1" width="16" customWidth="1"/>
    <col min="2" max="2" width="12" customWidth="1"/>
    <col min="3" max="3" width="10" customWidth="1"/>
    <col min="4" max="4" width="14" customWidth="1"/>
    <col min="5" max="8" width="10" customWidth="1"/>
  </cols>
  <sheetData>
    <row r="1" spans="1:8" ht="36" customHeight="1" x14ac:dyDescent="0.35">
      <c r="A1" s="8" t="s">
        <v>199</v>
      </c>
      <c r="B1" s="8"/>
      <c r="C1" s="8"/>
      <c r="D1" s="8"/>
      <c r="E1" s="8"/>
      <c r="F1" s="8"/>
      <c r="G1" s="8"/>
      <c r="H1" s="8"/>
    </row>
    <row r="2" spans="1:8" ht="18" customHeight="1" x14ac:dyDescent="0.35">
      <c r="A2" s="7" t="s">
        <v>200</v>
      </c>
      <c r="B2" s="7"/>
      <c r="C2" s="7"/>
      <c r="D2" s="7"/>
      <c r="E2" s="7"/>
      <c r="F2" s="7"/>
      <c r="G2" s="7"/>
      <c r="H2" s="7"/>
    </row>
    <row r="3" spans="1:8" ht="21.75" customHeight="1" x14ac:dyDescent="0.35">
      <c r="A3" s="15" t="s">
        <v>201</v>
      </c>
      <c r="B3" s="15" t="s">
        <v>113</v>
      </c>
      <c r="C3" s="15" t="s">
        <v>202</v>
      </c>
      <c r="D3" s="15" t="s">
        <v>203</v>
      </c>
      <c r="E3" s="15" t="s">
        <v>119</v>
      </c>
      <c r="F3" s="15" t="s">
        <v>204</v>
      </c>
      <c r="G3" s="15" t="s">
        <v>205</v>
      </c>
      <c r="H3" s="15" t="s">
        <v>206</v>
      </c>
    </row>
    <row r="4" spans="1:8" ht="18" customHeight="1" x14ac:dyDescent="0.35">
      <c r="A4" s="24" t="s">
        <v>207</v>
      </c>
      <c r="B4" s="24" t="s">
        <v>122</v>
      </c>
      <c r="C4" s="24" t="s">
        <v>208</v>
      </c>
      <c r="D4" s="24" t="s">
        <v>209</v>
      </c>
      <c r="E4" s="24" t="s">
        <v>64</v>
      </c>
      <c r="F4" s="24" t="s">
        <v>210</v>
      </c>
      <c r="G4" s="24" t="s">
        <v>210</v>
      </c>
      <c r="H4" s="24" t="s">
        <v>211</v>
      </c>
    </row>
    <row r="5" spans="1:8" ht="18" customHeight="1" x14ac:dyDescent="0.35">
      <c r="A5" s="25" t="s">
        <v>212</v>
      </c>
      <c r="B5" s="25" t="s">
        <v>130</v>
      </c>
      <c r="C5" s="25" t="s">
        <v>208</v>
      </c>
      <c r="D5" s="25" t="s">
        <v>213</v>
      </c>
      <c r="E5" s="25" t="s">
        <v>64</v>
      </c>
      <c r="F5" s="25" t="s">
        <v>210</v>
      </c>
      <c r="G5" s="25" t="s">
        <v>210</v>
      </c>
      <c r="H5" s="25" t="s">
        <v>211</v>
      </c>
    </row>
    <row r="6" spans="1:8" ht="18" customHeight="1" x14ac:dyDescent="0.35">
      <c r="A6" s="24" t="s">
        <v>214</v>
      </c>
      <c r="B6" s="24" t="s">
        <v>135</v>
      </c>
      <c r="C6" s="24" t="s">
        <v>215</v>
      </c>
      <c r="D6" s="24" t="s">
        <v>216</v>
      </c>
      <c r="E6" s="24" t="s">
        <v>64</v>
      </c>
      <c r="F6" s="24" t="s">
        <v>210</v>
      </c>
      <c r="G6" s="24" t="s">
        <v>210</v>
      </c>
      <c r="H6" s="24" t="s">
        <v>211</v>
      </c>
    </row>
    <row r="7" spans="1:8" ht="18" customHeight="1" x14ac:dyDescent="0.35">
      <c r="A7" s="25" t="s">
        <v>217</v>
      </c>
      <c r="B7" s="25" t="s">
        <v>122</v>
      </c>
      <c r="C7" s="25" t="s">
        <v>208</v>
      </c>
      <c r="D7" s="25" t="s">
        <v>218</v>
      </c>
      <c r="E7" s="25" t="s">
        <v>64</v>
      </c>
      <c r="F7" s="25" t="s">
        <v>210</v>
      </c>
      <c r="G7" s="25" t="s">
        <v>210</v>
      </c>
      <c r="H7" s="25" t="s">
        <v>211</v>
      </c>
    </row>
    <row r="8" spans="1:8" ht="18" customHeight="1" x14ac:dyDescent="0.35">
      <c r="A8" s="24" t="s">
        <v>219</v>
      </c>
      <c r="B8" s="24" t="s">
        <v>143</v>
      </c>
      <c r="C8" s="24" t="s">
        <v>208</v>
      </c>
      <c r="D8" s="24" t="s">
        <v>220</v>
      </c>
      <c r="E8" s="24" t="s">
        <v>64</v>
      </c>
      <c r="F8" s="24" t="s">
        <v>210</v>
      </c>
      <c r="G8" s="24" t="s">
        <v>210</v>
      </c>
      <c r="H8" s="24" t="s">
        <v>211</v>
      </c>
    </row>
    <row r="9" spans="1:8" ht="18" customHeight="1" x14ac:dyDescent="0.35">
      <c r="A9" s="25" t="s">
        <v>221</v>
      </c>
      <c r="B9" s="25" t="s">
        <v>140</v>
      </c>
      <c r="C9" s="25" t="s">
        <v>215</v>
      </c>
      <c r="D9" s="25" t="s">
        <v>222</v>
      </c>
      <c r="E9" s="25" t="s">
        <v>64</v>
      </c>
      <c r="F9" s="25" t="s">
        <v>210</v>
      </c>
      <c r="G9" s="25" t="s">
        <v>210</v>
      </c>
      <c r="H9" s="25" t="s">
        <v>211</v>
      </c>
    </row>
    <row r="10" spans="1:8" ht="18" customHeight="1" x14ac:dyDescent="0.35">
      <c r="A10" s="24" t="s">
        <v>223</v>
      </c>
      <c r="B10" s="24" t="s">
        <v>146</v>
      </c>
      <c r="C10" s="24" t="s">
        <v>224</v>
      </c>
      <c r="D10" s="24" t="s">
        <v>225</v>
      </c>
      <c r="E10" s="24" t="s">
        <v>64</v>
      </c>
      <c r="F10" s="24" t="s">
        <v>210</v>
      </c>
      <c r="G10" s="24" t="s">
        <v>210</v>
      </c>
      <c r="H10" s="24" t="s">
        <v>211</v>
      </c>
    </row>
    <row r="11" spans="1:8" ht="18" customHeight="1" x14ac:dyDescent="0.35">
      <c r="A11" s="25" t="s">
        <v>226</v>
      </c>
      <c r="B11" s="25" t="s">
        <v>130</v>
      </c>
      <c r="C11" s="25" t="s">
        <v>208</v>
      </c>
      <c r="D11" s="25" t="s">
        <v>227</v>
      </c>
      <c r="E11" s="25" t="s">
        <v>64</v>
      </c>
      <c r="F11" s="25" t="s">
        <v>210</v>
      </c>
      <c r="G11" s="25" t="s">
        <v>210</v>
      </c>
      <c r="H11" s="25" t="s">
        <v>211</v>
      </c>
    </row>
    <row r="12" spans="1:8" ht="18" customHeight="1" x14ac:dyDescent="0.35">
      <c r="A12" s="24" t="s">
        <v>228</v>
      </c>
      <c r="B12" s="24" t="s">
        <v>151</v>
      </c>
      <c r="C12" s="24" t="s">
        <v>208</v>
      </c>
      <c r="D12" s="24" t="s">
        <v>229</v>
      </c>
      <c r="E12" s="24" t="s">
        <v>64</v>
      </c>
      <c r="F12" s="24" t="s">
        <v>210</v>
      </c>
      <c r="G12" s="24" t="s">
        <v>210</v>
      </c>
      <c r="H12" s="24" t="s">
        <v>211</v>
      </c>
    </row>
    <row r="13" spans="1:8" ht="18" customHeight="1" x14ac:dyDescent="0.35">
      <c r="A13" s="25" t="s">
        <v>230</v>
      </c>
      <c r="B13" s="25" t="s">
        <v>135</v>
      </c>
      <c r="C13" s="25" t="s">
        <v>215</v>
      </c>
      <c r="D13" s="25" t="s">
        <v>231</v>
      </c>
      <c r="E13" s="25" t="s">
        <v>64</v>
      </c>
      <c r="F13" s="25" t="s">
        <v>210</v>
      </c>
      <c r="G13" s="25" t="s">
        <v>210</v>
      </c>
      <c r="H13" s="25" t="s">
        <v>211</v>
      </c>
    </row>
    <row r="14" spans="1:8" ht="18" customHeight="1" x14ac:dyDescent="0.35">
      <c r="A14" s="24" t="s">
        <v>232</v>
      </c>
      <c r="B14" s="24" t="s">
        <v>154</v>
      </c>
      <c r="C14" s="24" t="s">
        <v>233</v>
      </c>
      <c r="D14" s="24" t="s">
        <v>234</v>
      </c>
      <c r="E14" s="24" t="s">
        <v>64</v>
      </c>
      <c r="F14" s="24" t="s">
        <v>210</v>
      </c>
      <c r="G14" s="24" t="s">
        <v>210</v>
      </c>
      <c r="H14" s="24" t="s">
        <v>211</v>
      </c>
    </row>
    <row r="15" spans="1:8" ht="18" customHeight="1" x14ac:dyDescent="0.35">
      <c r="A15" s="25" t="s">
        <v>235</v>
      </c>
      <c r="B15" s="25" t="s">
        <v>122</v>
      </c>
      <c r="C15" s="25" t="s">
        <v>208</v>
      </c>
      <c r="D15" s="25" t="s">
        <v>236</v>
      </c>
      <c r="E15" s="25" t="s">
        <v>64</v>
      </c>
      <c r="F15" s="25" t="s">
        <v>210</v>
      </c>
      <c r="G15" s="25" t="s">
        <v>210</v>
      </c>
      <c r="H15" s="25" t="s">
        <v>211</v>
      </c>
    </row>
    <row r="16" spans="1:8" ht="18" customHeight="1" x14ac:dyDescent="0.35">
      <c r="A16" s="24" t="s">
        <v>237</v>
      </c>
      <c r="B16" s="24" t="s">
        <v>159</v>
      </c>
      <c r="C16" s="24" t="s">
        <v>238</v>
      </c>
      <c r="D16" s="24" t="s">
        <v>239</v>
      </c>
      <c r="E16" s="24" t="s">
        <v>64</v>
      </c>
      <c r="F16" s="24" t="s">
        <v>210</v>
      </c>
      <c r="G16" s="24" t="s">
        <v>210</v>
      </c>
      <c r="H16" s="24" t="s">
        <v>211</v>
      </c>
    </row>
    <row r="17" spans="1:8" ht="18" customHeight="1" x14ac:dyDescent="0.35">
      <c r="A17" s="25" t="s">
        <v>240</v>
      </c>
      <c r="B17" s="25" t="s">
        <v>164</v>
      </c>
      <c r="C17" s="25" t="s">
        <v>238</v>
      </c>
      <c r="D17" s="25" t="s">
        <v>241</v>
      </c>
      <c r="E17" s="25" t="s">
        <v>64</v>
      </c>
      <c r="F17" s="25" t="s">
        <v>210</v>
      </c>
      <c r="G17" s="25" t="s">
        <v>210</v>
      </c>
      <c r="H17" s="25" t="s">
        <v>211</v>
      </c>
    </row>
    <row r="18" spans="1:8" ht="18" customHeight="1" x14ac:dyDescent="0.35">
      <c r="A18" s="24" t="s">
        <v>242</v>
      </c>
      <c r="B18" s="24" t="s">
        <v>143</v>
      </c>
      <c r="C18" s="24" t="s">
        <v>208</v>
      </c>
      <c r="D18" s="24" t="s">
        <v>243</v>
      </c>
      <c r="E18" s="24" t="s">
        <v>64</v>
      </c>
      <c r="F18" s="24" t="s">
        <v>210</v>
      </c>
      <c r="G18" s="24" t="s">
        <v>210</v>
      </c>
      <c r="H18" s="24" t="s">
        <v>211</v>
      </c>
    </row>
    <row r="19" spans="1:8" ht="18" customHeight="1" x14ac:dyDescent="0.35">
      <c r="A19" s="25" t="s">
        <v>244</v>
      </c>
      <c r="B19" s="25" t="s">
        <v>167</v>
      </c>
      <c r="C19" s="25" t="s">
        <v>238</v>
      </c>
      <c r="D19" s="25" t="s">
        <v>245</v>
      </c>
      <c r="E19" s="25" t="s">
        <v>64</v>
      </c>
      <c r="F19" s="25" t="s">
        <v>210</v>
      </c>
      <c r="G19" s="25" t="s">
        <v>210</v>
      </c>
      <c r="H19" s="25" t="s">
        <v>211</v>
      </c>
    </row>
    <row r="20" spans="1:8" ht="18" customHeight="1" x14ac:dyDescent="0.35">
      <c r="A20" s="24" t="s">
        <v>246</v>
      </c>
      <c r="B20" s="24" t="s">
        <v>170</v>
      </c>
      <c r="C20" s="24" t="s">
        <v>215</v>
      </c>
      <c r="D20" s="24" t="s">
        <v>247</v>
      </c>
      <c r="E20" s="24" t="s">
        <v>64</v>
      </c>
      <c r="F20" s="24" t="s">
        <v>210</v>
      </c>
      <c r="G20" s="24" t="s">
        <v>210</v>
      </c>
      <c r="H20" s="24" t="s">
        <v>211</v>
      </c>
    </row>
    <row r="21" spans="1:8" ht="18" customHeight="1" x14ac:dyDescent="0.35">
      <c r="A21" s="25" t="s">
        <v>248</v>
      </c>
      <c r="B21" s="25" t="s">
        <v>173</v>
      </c>
      <c r="C21" s="25" t="s">
        <v>215</v>
      </c>
      <c r="D21" s="25" t="s">
        <v>249</v>
      </c>
      <c r="E21" s="25" t="s">
        <v>64</v>
      </c>
      <c r="F21" s="25" t="s">
        <v>210</v>
      </c>
      <c r="G21" s="25" t="s">
        <v>210</v>
      </c>
      <c r="H21" s="25" t="s">
        <v>211</v>
      </c>
    </row>
    <row r="22" spans="1:8" ht="18" customHeight="1" x14ac:dyDescent="0.35">
      <c r="A22" s="24" t="s">
        <v>250</v>
      </c>
      <c r="B22" s="24" t="s">
        <v>176</v>
      </c>
      <c r="C22" s="24" t="s">
        <v>208</v>
      </c>
      <c r="D22" s="24" t="s">
        <v>251</v>
      </c>
      <c r="E22" s="24" t="s">
        <v>64</v>
      </c>
      <c r="F22" s="24" t="s">
        <v>210</v>
      </c>
      <c r="G22" s="24" t="s">
        <v>210</v>
      </c>
      <c r="H22" s="24" t="s">
        <v>211</v>
      </c>
    </row>
    <row r="23" spans="1:8" ht="18" customHeight="1" x14ac:dyDescent="0.35">
      <c r="A23" s="25" t="s">
        <v>252</v>
      </c>
      <c r="B23" s="25" t="s">
        <v>179</v>
      </c>
      <c r="C23" s="25" t="s">
        <v>208</v>
      </c>
      <c r="D23" s="25" t="s">
        <v>253</v>
      </c>
      <c r="E23" s="25" t="s">
        <v>64</v>
      </c>
      <c r="F23" s="25" t="s">
        <v>210</v>
      </c>
      <c r="G23" s="25" t="s">
        <v>210</v>
      </c>
      <c r="H23" s="25" t="s">
        <v>211</v>
      </c>
    </row>
    <row r="24" spans="1:8" ht="18" customHeight="1" x14ac:dyDescent="0.35">
      <c r="A24" s="24" t="s">
        <v>254</v>
      </c>
      <c r="B24" s="24" t="s">
        <v>183</v>
      </c>
      <c r="C24" s="24" t="s">
        <v>255</v>
      </c>
      <c r="D24" s="24" t="s">
        <v>256</v>
      </c>
      <c r="E24" s="24" t="s">
        <v>64</v>
      </c>
      <c r="F24" s="24" t="s">
        <v>210</v>
      </c>
      <c r="G24" s="24" t="s">
        <v>210</v>
      </c>
      <c r="H24" s="24" t="s">
        <v>211</v>
      </c>
    </row>
    <row r="25" spans="1:8" ht="18" customHeight="1" x14ac:dyDescent="0.35">
      <c r="A25" s="25" t="s">
        <v>257</v>
      </c>
      <c r="B25" s="25" t="s">
        <v>187</v>
      </c>
      <c r="C25" s="25" t="s">
        <v>255</v>
      </c>
      <c r="D25" s="25" t="s">
        <v>258</v>
      </c>
      <c r="E25" s="25" t="s">
        <v>64</v>
      </c>
      <c r="F25" s="25" t="s">
        <v>210</v>
      </c>
      <c r="G25" s="25" t="s">
        <v>210</v>
      </c>
      <c r="H25" s="25" t="s">
        <v>211</v>
      </c>
    </row>
    <row r="26" spans="1:8" ht="18" customHeight="1" x14ac:dyDescent="0.35">
      <c r="A26" s="24" t="s">
        <v>259</v>
      </c>
      <c r="B26" s="24" t="s">
        <v>122</v>
      </c>
      <c r="C26" s="24" t="s">
        <v>208</v>
      </c>
      <c r="D26" s="24" t="s">
        <v>260</v>
      </c>
      <c r="E26" s="24" t="s">
        <v>64</v>
      </c>
      <c r="F26" s="24" t="s">
        <v>210</v>
      </c>
      <c r="G26" s="24" t="s">
        <v>210</v>
      </c>
      <c r="H26" s="24" t="s">
        <v>211</v>
      </c>
    </row>
    <row r="27" spans="1:8" ht="18" customHeight="1" x14ac:dyDescent="0.35">
      <c r="A27" s="25" t="s">
        <v>261</v>
      </c>
      <c r="B27" s="25" t="s">
        <v>190</v>
      </c>
      <c r="C27" s="25" t="s">
        <v>255</v>
      </c>
      <c r="D27" s="25" t="s">
        <v>262</v>
      </c>
      <c r="E27" s="25" t="s">
        <v>64</v>
      </c>
      <c r="F27" s="25" t="s">
        <v>210</v>
      </c>
      <c r="G27" s="25" t="s">
        <v>210</v>
      </c>
      <c r="H27" s="25" t="s">
        <v>211</v>
      </c>
    </row>
    <row r="28" spans="1:8" ht="18" customHeight="1" x14ac:dyDescent="0.35">
      <c r="A28" s="24" t="s">
        <v>263</v>
      </c>
      <c r="B28" s="24" t="s">
        <v>193</v>
      </c>
      <c r="C28" s="24" t="s">
        <v>255</v>
      </c>
      <c r="D28" s="24" t="s">
        <v>264</v>
      </c>
      <c r="E28" s="24" t="s">
        <v>64</v>
      </c>
      <c r="F28" s="24" t="s">
        <v>210</v>
      </c>
      <c r="G28" s="24" t="s">
        <v>210</v>
      </c>
      <c r="H28" s="24" t="s">
        <v>211</v>
      </c>
    </row>
    <row r="29" spans="1:8" ht="18" customHeight="1" x14ac:dyDescent="0.35">
      <c r="A29" s="25" t="s">
        <v>265</v>
      </c>
      <c r="B29" s="25" t="s">
        <v>130</v>
      </c>
      <c r="C29" s="25" t="s">
        <v>208</v>
      </c>
      <c r="D29" s="25" t="s">
        <v>266</v>
      </c>
      <c r="E29" s="25" t="s">
        <v>64</v>
      </c>
      <c r="F29" s="25" t="s">
        <v>210</v>
      </c>
      <c r="G29" s="25" t="s">
        <v>210</v>
      </c>
      <c r="H29" s="25" t="s">
        <v>211</v>
      </c>
    </row>
    <row r="30" spans="1:8" ht="18" customHeight="1" x14ac:dyDescent="0.35">
      <c r="A30" s="24" t="s">
        <v>267</v>
      </c>
      <c r="B30" s="24" t="s">
        <v>196</v>
      </c>
      <c r="C30" s="24" t="s">
        <v>215</v>
      </c>
      <c r="D30" s="24" t="s">
        <v>268</v>
      </c>
      <c r="E30" s="24" t="s">
        <v>64</v>
      </c>
      <c r="F30" s="24" t="s">
        <v>210</v>
      </c>
      <c r="G30" s="24" t="s">
        <v>210</v>
      </c>
      <c r="H30" s="24" t="s">
        <v>211</v>
      </c>
    </row>
    <row r="31" spans="1:8" ht="18" customHeight="1" x14ac:dyDescent="0.35">
      <c r="A31" s="25" t="s">
        <v>269</v>
      </c>
      <c r="B31" s="25" t="s">
        <v>143</v>
      </c>
      <c r="C31" s="25" t="s">
        <v>208</v>
      </c>
      <c r="D31" s="25" t="s">
        <v>270</v>
      </c>
      <c r="E31" s="25" t="s">
        <v>64</v>
      </c>
      <c r="F31" s="25" t="s">
        <v>210</v>
      </c>
      <c r="G31" s="25" t="s">
        <v>210</v>
      </c>
      <c r="H31" s="25" t="s">
        <v>211</v>
      </c>
    </row>
    <row r="32" spans="1:8" ht="18" customHeight="1" x14ac:dyDescent="0.35">
      <c r="A32" s="24" t="s">
        <v>271</v>
      </c>
      <c r="B32" s="24" t="s">
        <v>151</v>
      </c>
      <c r="C32" s="24" t="s">
        <v>208</v>
      </c>
      <c r="D32" s="24" t="s">
        <v>272</v>
      </c>
      <c r="E32" s="24" t="s">
        <v>64</v>
      </c>
      <c r="F32" s="24" t="s">
        <v>210</v>
      </c>
      <c r="G32" s="24" t="s">
        <v>210</v>
      </c>
      <c r="H32" s="24" t="s">
        <v>211</v>
      </c>
    </row>
    <row r="33" spans="1:8" ht="18" customHeight="1" x14ac:dyDescent="0.35">
      <c r="A33" s="25" t="s">
        <v>273</v>
      </c>
      <c r="B33" s="25" t="s">
        <v>135</v>
      </c>
      <c r="C33" s="25" t="s">
        <v>215</v>
      </c>
      <c r="D33" s="25" t="s">
        <v>274</v>
      </c>
      <c r="E33" s="25" t="s">
        <v>64</v>
      </c>
      <c r="F33" s="25" t="s">
        <v>210</v>
      </c>
      <c r="G33" s="25" t="s">
        <v>210</v>
      </c>
      <c r="H33" s="25" t="s">
        <v>211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6328125" defaultRowHeight="14.5" x14ac:dyDescent="0.35"/>
  <cols>
    <col min="1" max="1" width="16" customWidth="1"/>
    <col min="2" max="2" width="8" customWidth="1"/>
    <col min="3" max="3" width="16" customWidth="1"/>
    <col min="4" max="4" width="34" customWidth="1"/>
    <col min="5" max="5" width="10" customWidth="1"/>
    <col min="6" max="6" width="8" customWidth="1"/>
    <col min="7" max="7" width="12" customWidth="1"/>
    <col min="8" max="11" width="8" customWidth="1"/>
    <col min="12" max="12" width="12" customWidth="1"/>
  </cols>
  <sheetData>
    <row r="1" spans="1:12" ht="36" customHeight="1" x14ac:dyDescent="0.35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8" customHeight="1" x14ac:dyDescent="0.35">
      <c r="A2" s="7" t="s">
        <v>200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1.75" customHeight="1" x14ac:dyDescent="0.35">
      <c r="A3" s="15" t="s">
        <v>201</v>
      </c>
      <c r="B3" s="15" t="s">
        <v>276</v>
      </c>
      <c r="C3" s="15" t="s">
        <v>277</v>
      </c>
      <c r="D3" s="15" t="s">
        <v>278</v>
      </c>
      <c r="E3" s="15" t="s">
        <v>279</v>
      </c>
      <c r="F3" s="15" t="s">
        <v>280</v>
      </c>
      <c r="G3" s="15" t="s">
        <v>281</v>
      </c>
      <c r="H3" s="15" t="s">
        <v>282</v>
      </c>
      <c r="I3" s="15" t="s">
        <v>205</v>
      </c>
      <c r="J3" s="15" t="s">
        <v>283</v>
      </c>
      <c r="K3" s="15" t="s">
        <v>284</v>
      </c>
      <c r="L3" s="15" t="s">
        <v>113</v>
      </c>
    </row>
    <row r="4" spans="1:12" ht="18" customHeight="1" x14ac:dyDescent="0.35">
      <c r="A4" s="24" t="s">
        <v>207</v>
      </c>
      <c r="B4" s="24" t="s">
        <v>285</v>
      </c>
      <c r="C4" s="24" t="s">
        <v>286</v>
      </c>
      <c r="D4" s="24" t="s">
        <v>287</v>
      </c>
      <c r="E4" s="24" t="s">
        <v>288</v>
      </c>
      <c r="F4" s="24" t="s">
        <v>289</v>
      </c>
      <c r="G4" s="24" t="s">
        <v>290</v>
      </c>
      <c r="H4" s="24" t="s">
        <v>78</v>
      </c>
      <c r="I4" s="24" t="s">
        <v>210</v>
      </c>
      <c r="J4" s="24" t="s">
        <v>291</v>
      </c>
      <c r="K4" s="24" t="s">
        <v>129</v>
      </c>
      <c r="L4" s="24" t="s">
        <v>122</v>
      </c>
    </row>
    <row r="5" spans="1:12" ht="18" customHeight="1" x14ac:dyDescent="0.35">
      <c r="A5" s="25" t="s">
        <v>212</v>
      </c>
      <c r="B5" s="25" t="s">
        <v>285</v>
      </c>
      <c r="C5" s="25" t="s">
        <v>292</v>
      </c>
      <c r="D5" s="25" t="s">
        <v>293</v>
      </c>
      <c r="E5" s="25" t="s">
        <v>294</v>
      </c>
      <c r="F5" s="25" t="s">
        <v>295</v>
      </c>
      <c r="G5" s="25" t="s">
        <v>296</v>
      </c>
      <c r="H5" s="25" t="s">
        <v>78</v>
      </c>
      <c r="I5" s="25" t="s">
        <v>210</v>
      </c>
      <c r="J5" s="25" t="s">
        <v>291</v>
      </c>
      <c r="K5" s="25" t="s">
        <v>134</v>
      </c>
      <c r="L5" s="25" t="s">
        <v>130</v>
      </c>
    </row>
    <row r="6" spans="1:12" ht="18" customHeight="1" x14ac:dyDescent="0.35">
      <c r="A6" s="24" t="s">
        <v>214</v>
      </c>
      <c r="B6" s="24" t="s">
        <v>285</v>
      </c>
      <c r="C6" s="24" t="s">
        <v>297</v>
      </c>
      <c r="D6" s="24" t="s">
        <v>298</v>
      </c>
      <c r="E6" s="24" t="s">
        <v>299</v>
      </c>
      <c r="F6" s="24" t="s">
        <v>289</v>
      </c>
      <c r="G6" s="24" t="s">
        <v>300</v>
      </c>
      <c r="H6" s="24" t="s">
        <v>78</v>
      </c>
      <c r="I6" s="24" t="s">
        <v>210</v>
      </c>
      <c r="J6" s="24" t="s">
        <v>291</v>
      </c>
      <c r="K6" s="24" t="s">
        <v>139</v>
      </c>
      <c r="L6" s="24" t="s">
        <v>135</v>
      </c>
    </row>
    <row r="7" spans="1:12" ht="18" customHeight="1" x14ac:dyDescent="0.35">
      <c r="A7" s="25" t="s">
        <v>217</v>
      </c>
      <c r="B7" s="25" t="s">
        <v>285</v>
      </c>
      <c r="C7" s="25" t="s">
        <v>286</v>
      </c>
      <c r="D7" s="25" t="s">
        <v>287</v>
      </c>
      <c r="E7" s="25" t="s">
        <v>301</v>
      </c>
      <c r="F7" s="25" t="s">
        <v>289</v>
      </c>
      <c r="G7" s="25" t="s">
        <v>302</v>
      </c>
      <c r="H7" s="25" t="s">
        <v>78</v>
      </c>
      <c r="I7" s="25" t="s">
        <v>210</v>
      </c>
      <c r="J7" s="25" t="s">
        <v>291</v>
      </c>
      <c r="K7" s="25" t="s">
        <v>129</v>
      </c>
      <c r="L7" s="25" t="s">
        <v>122</v>
      </c>
    </row>
    <row r="8" spans="1:12" ht="18" customHeight="1" x14ac:dyDescent="0.35">
      <c r="A8" s="24" t="s">
        <v>219</v>
      </c>
      <c r="B8" s="24" t="s">
        <v>285</v>
      </c>
      <c r="C8" s="24" t="s">
        <v>303</v>
      </c>
      <c r="D8" s="24" t="s">
        <v>304</v>
      </c>
      <c r="E8" s="24" t="s">
        <v>305</v>
      </c>
      <c r="F8" s="24" t="s">
        <v>306</v>
      </c>
      <c r="G8" s="24" t="s">
        <v>307</v>
      </c>
      <c r="H8" s="24" t="s">
        <v>78</v>
      </c>
      <c r="I8" s="24" t="s">
        <v>210</v>
      </c>
      <c r="J8" s="24" t="s">
        <v>291</v>
      </c>
      <c r="K8" s="24" t="s">
        <v>129</v>
      </c>
      <c r="L8" s="24" t="s">
        <v>143</v>
      </c>
    </row>
    <row r="9" spans="1:12" ht="18" customHeight="1" x14ac:dyDescent="0.35">
      <c r="A9" s="25" t="s">
        <v>221</v>
      </c>
      <c r="B9" s="25" t="s">
        <v>285</v>
      </c>
      <c r="C9" s="25" t="s">
        <v>308</v>
      </c>
      <c r="D9" s="25" t="s">
        <v>309</v>
      </c>
      <c r="E9" s="25" t="s">
        <v>285</v>
      </c>
      <c r="F9" s="25" t="s">
        <v>289</v>
      </c>
      <c r="G9" s="25" t="s">
        <v>310</v>
      </c>
      <c r="H9" s="25" t="s">
        <v>78</v>
      </c>
      <c r="I9" s="25" t="s">
        <v>210</v>
      </c>
      <c r="J9" s="25" t="s">
        <v>291</v>
      </c>
      <c r="K9" s="25" t="s">
        <v>139</v>
      </c>
      <c r="L9" s="25" t="s">
        <v>140</v>
      </c>
    </row>
    <row r="10" spans="1:12" ht="18" customHeight="1" x14ac:dyDescent="0.35">
      <c r="A10" s="24" t="s">
        <v>223</v>
      </c>
      <c r="B10" s="24" t="s">
        <v>285</v>
      </c>
      <c r="C10" s="24" t="s">
        <v>311</v>
      </c>
      <c r="D10" s="24" t="s">
        <v>312</v>
      </c>
      <c r="E10" s="24" t="s">
        <v>313</v>
      </c>
      <c r="F10" s="24" t="s">
        <v>289</v>
      </c>
      <c r="G10" s="24" t="s">
        <v>314</v>
      </c>
      <c r="H10" s="24" t="s">
        <v>78</v>
      </c>
      <c r="I10" s="24" t="s">
        <v>210</v>
      </c>
      <c r="J10" s="24" t="s">
        <v>291</v>
      </c>
      <c r="K10" s="24" t="s">
        <v>150</v>
      </c>
      <c r="L10" s="24" t="s">
        <v>146</v>
      </c>
    </row>
    <row r="11" spans="1:12" ht="18" customHeight="1" x14ac:dyDescent="0.35">
      <c r="A11" s="25" t="s">
        <v>226</v>
      </c>
      <c r="B11" s="25" t="s">
        <v>285</v>
      </c>
      <c r="C11" s="25" t="s">
        <v>292</v>
      </c>
      <c r="D11" s="25" t="s">
        <v>293</v>
      </c>
      <c r="E11" s="25" t="s">
        <v>315</v>
      </c>
      <c r="F11" s="25" t="s">
        <v>295</v>
      </c>
      <c r="G11" s="25" t="s">
        <v>316</v>
      </c>
      <c r="H11" s="25" t="s">
        <v>78</v>
      </c>
      <c r="I11" s="25" t="s">
        <v>210</v>
      </c>
      <c r="J11" s="25" t="s">
        <v>291</v>
      </c>
      <c r="K11" s="25" t="s">
        <v>134</v>
      </c>
      <c r="L11" s="25" t="s">
        <v>130</v>
      </c>
    </row>
    <row r="12" spans="1:12" ht="18" customHeight="1" x14ac:dyDescent="0.35">
      <c r="A12" s="24" t="s">
        <v>228</v>
      </c>
      <c r="B12" s="24" t="s">
        <v>285</v>
      </c>
      <c r="C12" s="24" t="s">
        <v>317</v>
      </c>
      <c r="D12" s="24" t="s">
        <v>318</v>
      </c>
      <c r="E12" s="24" t="s">
        <v>319</v>
      </c>
      <c r="F12" s="24" t="s">
        <v>289</v>
      </c>
      <c r="G12" s="24" t="s">
        <v>320</v>
      </c>
      <c r="H12" s="24" t="s">
        <v>78</v>
      </c>
      <c r="I12" s="24" t="s">
        <v>210</v>
      </c>
      <c r="J12" s="24" t="s">
        <v>291</v>
      </c>
      <c r="K12" s="24" t="s">
        <v>129</v>
      </c>
      <c r="L12" s="24" t="s">
        <v>151</v>
      </c>
    </row>
    <row r="13" spans="1:12" ht="18" customHeight="1" x14ac:dyDescent="0.35">
      <c r="A13" s="25" t="s">
        <v>230</v>
      </c>
      <c r="B13" s="25" t="s">
        <v>285</v>
      </c>
      <c r="C13" s="25" t="s">
        <v>297</v>
      </c>
      <c r="D13" s="25" t="s">
        <v>298</v>
      </c>
      <c r="E13" s="25" t="s">
        <v>19</v>
      </c>
      <c r="F13" s="25" t="s">
        <v>289</v>
      </c>
      <c r="G13" s="25" t="s">
        <v>321</v>
      </c>
      <c r="H13" s="25" t="s">
        <v>78</v>
      </c>
      <c r="I13" s="25" t="s">
        <v>210</v>
      </c>
      <c r="J13" s="25" t="s">
        <v>291</v>
      </c>
      <c r="K13" s="25" t="s">
        <v>139</v>
      </c>
      <c r="L13" s="25" t="s">
        <v>135</v>
      </c>
    </row>
    <row r="14" spans="1:12" ht="18" customHeight="1" x14ac:dyDescent="0.35">
      <c r="A14" s="24" t="s">
        <v>232</v>
      </c>
      <c r="B14" s="24" t="s">
        <v>285</v>
      </c>
      <c r="C14" s="24" t="s">
        <v>322</v>
      </c>
      <c r="D14" s="24" t="s">
        <v>323</v>
      </c>
      <c r="E14" s="24" t="s">
        <v>324</v>
      </c>
      <c r="F14" s="24" t="s">
        <v>289</v>
      </c>
      <c r="G14" s="24" t="s">
        <v>325</v>
      </c>
      <c r="H14" s="24" t="s">
        <v>78</v>
      </c>
      <c r="I14" s="24" t="s">
        <v>210</v>
      </c>
      <c r="J14" s="24" t="s">
        <v>291</v>
      </c>
      <c r="K14" s="24" t="s">
        <v>158</v>
      </c>
      <c r="L14" s="24" t="s">
        <v>154</v>
      </c>
    </row>
    <row r="15" spans="1:12" ht="18" customHeight="1" x14ac:dyDescent="0.35">
      <c r="A15" s="25" t="s">
        <v>235</v>
      </c>
      <c r="B15" s="25" t="s">
        <v>285</v>
      </c>
      <c r="C15" s="25" t="s">
        <v>286</v>
      </c>
      <c r="D15" s="25" t="s">
        <v>287</v>
      </c>
      <c r="E15" s="25" t="s">
        <v>326</v>
      </c>
      <c r="F15" s="25" t="s">
        <v>289</v>
      </c>
      <c r="G15" s="25" t="s">
        <v>327</v>
      </c>
      <c r="H15" s="25" t="s">
        <v>78</v>
      </c>
      <c r="I15" s="25" t="s">
        <v>210</v>
      </c>
      <c r="J15" s="25" t="s">
        <v>291</v>
      </c>
      <c r="K15" s="25" t="s">
        <v>129</v>
      </c>
      <c r="L15" s="25" t="s">
        <v>122</v>
      </c>
    </row>
    <row r="16" spans="1:12" ht="18" customHeight="1" x14ac:dyDescent="0.35">
      <c r="A16" s="24" t="s">
        <v>237</v>
      </c>
      <c r="B16" s="24" t="s">
        <v>285</v>
      </c>
      <c r="C16" s="24" t="s">
        <v>328</v>
      </c>
      <c r="D16" s="24" t="s">
        <v>329</v>
      </c>
      <c r="E16" s="24" t="s">
        <v>330</v>
      </c>
      <c r="F16" s="24" t="s">
        <v>295</v>
      </c>
      <c r="G16" s="24" t="s">
        <v>331</v>
      </c>
      <c r="H16" s="24" t="s">
        <v>78</v>
      </c>
      <c r="I16" s="24" t="s">
        <v>210</v>
      </c>
      <c r="J16" s="24" t="s">
        <v>291</v>
      </c>
      <c r="K16" s="24" t="s">
        <v>163</v>
      </c>
      <c r="L16" s="24" t="s">
        <v>159</v>
      </c>
    </row>
    <row r="17" spans="1:12" ht="18" customHeight="1" x14ac:dyDescent="0.35">
      <c r="A17" s="25" t="s">
        <v>240</v>
      </c>
      <c r="B17" s="25" t="s">
        <v>285</v>
      </c>
      <c r="C17" s="25" t="s">
        <v>332</v>
      </c>
      <c r="D17" s="25" t="s">
        <v>333</v>
      </c>
      <c r="E17" s="25" t="s">
        <v>305</v>
      </c>
      <c r="F17" s="25" t="s">
        <v>334</v>
      </c>
      <c r="G17" s="25" t="s">
        <v>335</v>
      </c>
      <c r="H17" s="25" t="s">
        <v>78</v>
      </c>
      <c r="I17" s="25" t="s">
        <v>210</v>
      </c>
      <c r="J17" s="25" t="s">
        <v>291</v>
      </c>
      <c r="K17" s="25" t="s">
        <v>163</v>
      </c>
      <c r="L17" s="25" t="s">
        <v>164</v>
      </c>
    </row>
    <row r="18" spans="1:12" ht="18" customHeight="1" x14ac:dyDescent="0.35">
      <c r="A18" s="24" t="s">
        <v>242</v>
      </c>
      <c r="B18" s="24" t="s">
        <v>285</v>
      </c>
      <c r="C18" s="24" t="s">
        <v>303</v>
      </c>
      <c r="D18" s="24" t="s">
        <v>304</v>
      </c>
      <c r="E18" s="24" t="s">
        <v>336</v>
      </c>
      <c r="F18" s="24" t="s">
        <v>306</v>
      </c>
      <c r="G18" s="24" t="s">
        <v>337</v>
      </c>
      <c r="H18" s="24" t="s">
        <v>78</v>
      </c>
      <c r="I18" s="24" t="s">
        <v>210</v>
      </c>
      <c r="J18" s="24" t="s">
        <v>291</v>
      </c>
      <c r="K18" s="24" t="s">
        <v>129</v>
      </c>
      <c r="L18" s="24" t="s">
        <v>143</v>
      </c>
    </row>
    <row r="19" spans="1:12" ht="18" customHeight="1" x14ac:dyDescent="0.35">
      <c r="A19" s="25" t="s">
        <v>244</v>
      </c>
      <c r="B19" s="25" t="s">
        <v>285</v>
      </c>
      <c r="C19" s="25" t="s">
        <v>338</v>
      </c>
      <c r="D19" s="25" t="s">
        <v>339</v>
      </c>
      <c r="E19" s="25" t="s">
        <v>210</v>
      </c>
      <c r="F19" s="25" t="s">
        <v>295</v>
      </c>
      <c r="G19" s="25" t="s">
        <v>340</v>
      </c>
      <c r="H19" s="25" t="s">
        <v>78</v>
      </c>
      <c r="I19" s="25" t="s">
        <v>210</v>
      </c>
      <c r="J19" s="25" t="s">
        <v>291</v>
      </c>
      <c r="K19" s="25" t="s">
        <v>163</v>
      </c>
      <c r="L19" s="25" t="s">
        <v>167</v>
      </c>
    </row>
    <row r="20" spans="1:12" ht="18" customHeight="1" x14ac:dyDescent="0.35">
      <c r="A20" s="24" t="s">
        <v>246</v>
      </c>
      <c r="B20" s="24" t="s">
        <v>285</v>
      </c>
      <c r="C20" s="24" t="s">
        <v>341</v>
      </c>
      <c r="D20" s="24" t="s">
        <v>342</v>
      </c>
      <c r="E20" s="24" t="s">
        <v>343</v>
      </c>
      <c r="F20" s="24" t="s">
        <v>289</v>
      </c>
      <c r="G20" s="24" t="s">
        <v>344</v>
      </c>
      <c r="H20" s="24" t="s">
        <v>78</v>
      </c>
      <c r="I20" s="24" t="s">
        <v>210</v>
      </c>
      <c r="J20" s="24" t="s">
        <v>291</v>
      </c>
      <c r="K20" s="24" t="s">
        <v>139</v>
      </c>
      <c r="L20" s="24" t="s">
        <v>170</v>
      </c>
    </row>
    <row r="21" spans="1:12" ht="18" customHeight="1" x14ac:dyDescent="0.35">
      <c r="A21" s="25" t="s">
        <v>248</v>
      </c>
      <c r="B21" s="25" t="s">
        <v>285</v>
      </c>
      <c r="C21" s="25" t="s">
        <v>345</v>
      </c>
      <c r="D21" s="25" t="s">
        <v>346</v>
      </c>
      <c r="E21" s="25" t="s">
        <v>347</v>
      </c>
      <c r="F21" s="25" t="s">
        <v>289</v>
      </c>
      <c r="G21" s="25" t="s">
        <v>348</v>
      </c>
      <c r="H21" s="25" t="s">
        <v>78</v>
      </c>
      <c r="I21" s="25" t="s">
        <v>210</v>
      </c>
      <c r="J21" s="25" t="s">
        <v>291</v>
      </c>
      <c r="K21" s="25" t="s">
        <v>139</v>
      </c>
      <c r="L21" s="25" t="s">
        <v>173</v>
      </c>
    </row>
    <row r="22" spans="1:12" ht="18" customHeight="1" x14ac:dyDescent="0.35">
      <c r="A22" s="24" t="s">
        <v>250</v>
      </c>
      <c r="B22" s="24" t="s">
        <v>285</v>
      </c>
      <c r="C22" s="24" t="s">
        <v>349</v>
      </c>
      <c r="D22" s="24" t="s">
        <v>350</v>
      </c>
      <c r="E22" s="24" t="s">
        <v>326</v>
      </c>
      <c r="F22" s="24" t="s">
        <v>289</v>
      </c>
      <c r="G22" s="24" t="s">
        <v>351</v>
      </c>
      <c r="H22" s="24" t="s">
        <v>78</v>
      </c>
      <c r="I22" s="24" t="s">
        <v>210</v>
      </c>
      <c r="J22" s="24" t="s">
        <v>291</v>
      </c>
      <c r="K22" s="24" t="s">
        <v>129</v>
      </c>
      <c r="L22" s="24" t="s">
        <v>176</v>
      </c>
    </row>
    <row r="23" spans="1:12" ht="18" customHeight="1" x14ac:dyDescent="0.35">
      <c r="A23" s="25" t="s">
        <v>252</v>
      </c>
      <c r="B23" s="25" t="s">
        <v>285</v>
      </c>
      <c r="C23" s="25" t="s">
        <v>352</v>
      </c>
      <c r="D23" s="25" t="s">
        <v>353</v>
      </c>
      <c r="E23" s="25" t="s">
        <v>288</v>
      </c>
      <c r="F23" s="25" t="s">
        <v>289</v>
      </c>
      <c r="G23" s="25" t="s">
        <v>354</v>
      </c>
      <c r="H23" s="25" t="s">
        <v>78</v>
      </c>
      <c r="I23" s="25" t="s">
        <v>210</v>
      </c>
      <c r="J23" s="25" t="s">
        <v>291</v>
      </c>
      <c r="K23" s="25" t="s">
        <v>129</v>
      </c>
      <c r="L23" s="25" t="s">
        <v>179</v>
      </c>
    </row>
    <row r="24" spans="1:12" ht="18" customHeight="1" x14ac:dyDescent="0.35">
      <c r="A24" s="24" t="s">
        <v>254</v>
      </c>
      <c r="B24" s="24" t="s">
        <v>285</v>
      </c>
      <c r="C24" s="24" t="s">
        <v>355</v>
      </c>
      <c r="D24" s="24" t="s">
        <v>356</v>
      </c>
      <c r="E24" s="24" t="s">
        <v>357</v>
      </c>
      <c r="F24" s="24" t="s">
        <v>289</v>
      </c>
      <c r="G24" s="24" t="s">
        <v>358</v>
      </c>
      <c r="H24" s="24" t="s">
        <v>78</v>
      </c>
      <c r="I24" s="24" t="s">
        <v>210</v>
      </c>
      <c r="J24" s="24" t="s">
        <v>291</v>
      </c>
      <c r="K24" s="24" t="s">
        <v>186</v>
      </c>
      <c r="L24" s="24" t="s">
        <v>183</v>
      </c>
    </row>
    <row r="25" spans="1:12" ht="18" customHeight="1" x14ac:dyDescent="0.35">
      <c r="A25" s="25" t="s">
        <v>257</v>
      </c>
      <c r="B25" s="25" t="s">
        <v>285</v>
      </c>
      <c r="C25" s="25" t="s">
        <v>359</v>
      </c>
      <c r="D25" s="25" t="s">
        <v>360</v>
      </c>
      <c r="E25" s="25" t="s">
        <v>301</v>
      </c>
      <c r="F25" s="25" t="s">
        <v>289</v>
      </c>
      <c r="G25" s="25" t="s">
        <v>361</v>
      </c>
      <c r="H25" s="25" t="s">
        <v>78</v>
      </c>
      <c r="I25" s="25" t="s">
        <v>210</v>
      </c>
      <c r="J25" s="25" t="s">
        <v>291</v>
      </c>
      <c r="K25" s="25" t="s">
        <v>186</v>
      </c>
      <c r="L25" s="25" t="s">
        <v>187</v>
      </c>
    </row>
    <row r="26" spans="1:12" ht="18" customHeight="1" x14ac:dyDescent="0.35">
      <c r="A26" s="24" t="s">
        <v>259</v>
      </c>
      <c r="B26" s="24" t="s">
        <v>285</v>
      </c>
      <c r="C26" s="24" t="s">
        <v>286</v>
      </c>
      <c r="D26" s="24" t="s">
        <v>287</v>
      </c>
      <c r="E26" s="24" t="s">
        <v>362</v>
      </c>
      <c r="F26" s="24" t="s">
        <v>289</v>
      </c>
      <c r="G26" s="24" t="s">
        <v>363</v>
      </c>
      <c r="H26" s="24" t="s">
        <v>78</v>
      </c>
      <c r="I26" s="24" t="s">
        <v>210</v>
      </c>
      <c r="J26" s="24" t="s">
        <v>291</v>
      </c>
      <c r="K26" s="24" t="s">
        <v>129</v>
      </c>
      <c r="L26" s="24" t="s">
        <v>122</v>
      </c>
    </row>
    <row r="27" spans="1:12" ht="18" customHeight="1" x14ac:dyDescent="0.35">
      <c r="A27" s="25" t="s">
        <v>261</v>
      </c>
      <c r="B27" s="25" t="s">
        <v>285</v>
      </c>
      <c r="C27" s="25" t="s">
        <v>364</v>
      </c>
      <c r="D27" s="25" t="s">
        <v>365</v>
      </c>
      <c r="E27" s="25" t="s">
        <v>15</v>
      </c>
      <c r="F27" s="25" t="s">
        <v>289</v>
      </c>
      <c r="G27" s="25" t="s">
        <v>366</v>
      </c>
      <c r="H27" s="25" t="s">
        <v>78</v>
      </c>
      <c r="I27" s="25" t="s">
        <v>210</v>
      </c>
      <c r="J27" s="25" t="s">
        <v>291</v>
      </c>
      <c r="K27" s="25" t="s">
        <v>186</v>
      </c>
      <c r="L27" s="25" t="s">
        <v>190</v>
      </c>
    </row>
    <row r="28" spans="1:12" ht="18" customHeight="1" x14ac:dyDescent="0.35">
      <c r="A28" s="24" t="s">
        <v>263</v>
      </c>
      <c r="B28" s="24" t="s">
        <v>285</v>
      </c>
      <c r="C28" s="24" t="s">
        <v>367</v>
      </c>
      <c r="D28" s="24" t="s">
        <v>368</v>
      </c>
      <c r="E28" s="24" t="s">
        <v>369</v>
      </c>
      <c r="F28" s="24" t="s">
        <v>289</v>
      </c>
      <c r="G28" s="24" t="s">
        <v>370</v>
      </c>
      <c r="H28" s="24" t="s">
        <v>78</v>
      </c>
      <c r="I28" s="24" t="s">
        <v>210</v>
      </c>
      <c r="J28" s="24" t="s">
        <v>291</v>
      </c>
      <c r="K28" s="24" t="s">
        <v>186</v>
      </c>
      <c r="L28" s="24" t="s">
        <v>193</v>
      </c>
    </row>
    <row r="29" spans="1:12" ht="18" customHeight="1" x14ac:dyDescent="0.35">
      <c r="A29" s="25" t="s">
        <v>265</v>
      </c>
      <c r="B29" s="25" t="s">
        <v>285</v>
      </c>
      <c r="C29" s="25" t="s">
        <v>292</v>
      </c>
      <c r="D29" s="25" t="s">
        <v>293</v>
      </c>
      <c r="E29" s="25" t="s">
        <v>371</v>
      </c>
      <c r="F29" s="25" t="s">
        <v>295</v>
      </c>
      <c r="G29" s="25" t="s">
        <v>372</v>
      </c>
      <c r="H29" s="25" t="s">
        <v>78</v>
      </c>
      <c r="I29" s="25" t="s">
        <v>210</v>
      </c>
      <c r="J29" s="25" t="s">
        <v>291</v>
      </c>
      <c r="K29" s="25" t="s">
        <v>134</v>
      </c>
      <c r="L29" s="25" t="s">
        <v>130</v>
      </c>
    </row>
    <row r="30" spans="1:12" ht="18" customHeight="1" x14ac:dyDescent="0.35">
      <c r="A30" s="24" t="s">
        <v>267</v>
      </c>
      <c r="B30" s="24" t="s">
        <v>285</v>
      </c>
      <c r="C30" s="24" t="s">
        <v>373</v>
      </c>
      <c r="D30" s="24" t="s">
        <v>374</v>
      </c>
      <c r="E30" s="24" t="s">
        <v>19</v>
      </c>
      <c r="F30" s="24" t="s">
        <v>289</v>
      </c>
      <c r="G30" s="24" t="s">
        <v>375</v>
      </c>
      <c r="H30" s="24" t="s">
        <v>78</v>
      </c>
      <c r="I30" s="24" t="s">
        <v>210</v>
      </c>
      <c r="J30" s="24" t="s">
        <v>291</v>
      </c>
      <c r="K30" s="24" t="s">
        <v>139</v>
      </c>
      <c r="L30" s="24" t="s">
        <v>196</v>
      </c>
    </row>
    <row r="31" spans="1:12" ht="18" customHeight="1" x14ac:dyDescent="0.35">
      <c r="A31" s="25" t="s">
        <v>269</v>
      </c>
      <c r="B31" s="25" t="s">
        <v>285</v>
      </c>
      <c r="C31" s="25" t="s">
        <v>303</v>
      </c>
      <c r="D31" s="25" t="s">
        <v>304</v>
      </c>
      <c r="E31" s="25" t="s">
        <v>210</v>
      </c>
      <c r="F31" s="25" t="s">
        <v>306</v>
      </c>
      <c r="G31" s="25" t="s">
        <v>376</v>
      </c>
      <c r="H31" s="25" t="s">
        <v>78</v>
      </c>
      <c r="I31" s="25" t="s">
        <v>210</v>
      </c>
      <c r="J31" s="25" t="s">
        <v>291</v>
      </c>
      <c r="K31" s="25" t="s">
        <v>129</v>
      </c>
      <c r="L31" s="25" t="s">
        <v>143</v>
      </c>
    </row>
    <row r="32" spans="1:12" ht="18" customHeight="1" x14ac:dyDescent="0.35">
      <c r="A32" s="24" t="s">
        <v>271</v>
      </c>
      <c r="B32" s="24" t="s">
        <v>285</v>
      </c>
      <c r="C32" s="24" t="s">
        <v>317</v>
      </c>
      <c r="D32" s="24" t="s">
        <v>318</v>
      </c>
      <c r="E32" s="24" t="s">
        <v>285</v>
      </c>
      <c r="F32" s="24" t="s">
        <v>289</v>
      </c>
      <c r="G32" s="24" t="s">
        <v>377</v>
      </c>
      <c r="H32" s="24" t="s">
        <v>78</v>
      </c>
      <c r="I32" s="24" t="s">
        <v>210</v>
      </c>
      <c r="J32" s="24" t="s">
        <v>291</v>
      </c>
      <c r="K32" s="24" t="s">
        <v>129</v>
      </c>
      <c r="L32" s="24" t="s">
        <v>151</v>
      </c>
    </row>
    <row r="33" spans="1:12" ht="18" customHeight="1" x14ac:dyDescent="0.35">
      <c r="A33" s="25" t="s">
        <v>273</v>
      </c>
      <c r="B33" s="25" t="s">
        <v>285</v>
      </c>
      <c r="C33" s="25" t="s">
        <v>297</v>
      </c>
      <c r="D33" s="25" t="s">
        <v>298</v>
      </c>
      <c r="E33" s="25" t="s">
        <v>15</v>
      </c>
      <c r="F33" s="25" t="s">
        <v>289</v>
      </c>
      <c r="G33" s="25" t="s">
        <v>378</v>
      </c>
      <c r="H33" s="25" t="s">
        <v>78</v>
      </c>
      <c r="I33" s="25" t="s">
        <v>210</v>
      </c>
      <c r="J33" s="25" t="s">
        <v>291</v>
      </c>
      <c r="K33" s="25" t="s">
        <v>139</v>
      </c>
      <c r="L33" s="25" t="s">
        <v>135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showGridLines="0" zoomScaleNormal="100" workbookViewId="0">
      <pane xSplit="3" ySplit="4" topLeftCell="D13" activePane="bottomRight" state="frozen"/>
      <selection pane="topRight" activeCell="D1" sqref="D1"/>
      <selection pane="bottomLeft" activeCell="A5" sqref="A5"/>
      <selection pane="bottomRight" activeCell="E4" sqref="E4"/>
    </sheetView>
  </sheetViews>
  <sheetFormatPr defaultColWidth="8.6328125" defaultRowHeight="14.5" x14ac:dyDescent="0.35"/>
  <cols>
    <col min="1" max="1" width="12" customWidth="1"/>
    <col min="2" max="2" width="30" customWidth="1"/>
    <col min="3" max="3" width="10" customWidth="1"/>
    <col min="4" max="5" width="14" customWidth="1"/>
    <col min="6" max="6" width="16" customWidth="1"/>
    <col min="7" max="9" width="14" customWidth="1"/>
    <col min="10" max="10" width="10" customWidth="1"/>
    <col min="11" max="11" width="12" customWidth="1"/>
    <col min="12" max="13" width="14" customWidth="1"/>
    <col min="14" max="14" width="12" customWidth="1"/>
    <col min="15" max="15" width="16" customWidth="1"/>
    <col min="16" max="16" width="14" customWidth="1"/>
  </cols>
  <sheetData>
    <row r="1" spans="1:16" ht="36" customHeight="1" x14ac:dyDescent="0.35">
      <c r="A1" s="8" t="s">
        <v>379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8" customHeight="1" x14ac:dyDescent="0.35">
      <c r="A2" s="7" t="s">
        <v>380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9.5" customHeight="1" x14ac:dyDescent="0.35">
      <c r="A3" s="6" t="s">
        <v>381</v>
      </c>
      <c r="B3" s="6"/>
      <c r="C3" s="26" t="s">
        <v>382</v>
      </c>
      <c r="D3" s="5" t="s">
        <v>383</v>
      </c>
      <c r="E3" s="5"/>
      <c r="F3" s="5"/>
      <c r="G3" s="5"/>
      <c r="H3" s="27" t="s">
        <v>384</v>
      </c>
      <c r="I3" s="4" t="s">
        <v>385</v>
      </c>
      <c r="J3" s="4"/>
      <c r="K3" s="4"/>
      <c r="L3" s="3" t="s">
        <v>386</v>
      </c>
      <c r="M3" s="3"/>
      <c r="N3" s="3"/>
      <c r="O3" s="3"/>
      <c r="P3" s="28" t="s">
        <v>387</v>
      </c>
    </row>
    <row r="4" spans="1:16" ht="69.75" customHeight="1" x14ac:dyDescent="0.35">
      <c r="A4" s="29" t="s">
        <v>113</v>
      </c>
      <c r="B4" s="29" t="s">
        <v>388</v>
      </c>
      <c r="C4" s="29" t="s">
        <v>389</v>
      </c>
      <c r="D4" s="29" t="s">
        <v>34</v>
      </c>
      <c r="E4" s="29" t="s">
        <v>39</v>
      </c>
      <c r="F4" s="29" t="s">
        <v>42</v>
      </c>
      <c r="G4" s="29" t="s">
        <v>46</v>
      </c>
      <c r="H4" s="29" t="s">
        <v>50</v>
      </c>
      <c r="I4" s="29" t="s">
        <v>55</v>
      </c>
      <c r="J4" s="29" t="s">
        <v>59</v>
      </c>
      <c r="K4" s="29" t="s">
        <v>62</v>
      </c>
      <c r="L4" s="29" t="s">
        <v>65</v>
      </c>
      <c r="M4" s="29" t="s">
        <v>69</v>
      </c>
      <c r="N4" s="29" t="s">
        <v>74</v>
      </c>
      <c r="O4" s="29" t="s">
        <v>79</v>
      </c>
      <c r="P4" s="29" t="s">
        <v>84</v>
      </c>
    </row>
    <row r="5" spans="1:16" ht="18" customHeight="1" x14ac:dyDescent="0.35">
      <c r="A5" s="30" t="s">
        <v>122</v>
      </c>
      <c r="B5" s="31" t="s">
        <v>123</v>
      </c>
      <c r="C5" s="32" t="s">
        <v>129</v>
      </c>
      <c r="D5" s="33" t="s">
        <v>390</v>
      </c>
      <c r="E5" s="33" t="s">
        <v>391</v>
      </c>
      <c r="F5" s="33" t="s">
        <v>392</v>
      </c>
      <c r="G5" s="33" t="s">
        <v>393</v>
      </c>
      <c r="H5" s="34" t="s">
        <v>394</v>
      </c>
      <c r="I5" s="34" t="s">
        <v>395</v>
      </c>
      <c r="J5" s="34" t="s">
        <v>319</v>
      </c>
      <c r="K5" s="34" t="s">
        <v>396</v>
      </c>
      <c r="L5" s="34" t="s">
        <v>78</v>
      </c>
      <c r="M5" s="33" t="s">
        <v>397</v>
      </c>
      <c r="N5" s="34" t="s">
        <v>78</v>
      </c>
      <c r="O5" s="34" t="s">
        <v>343</v>
      </c>
      <c r="P5" s="35">
        <f t="shared" ref="P5:P24" si="0">(D5*0.3)+((100-F5)*0.25)+((100-G5)*0.2)+(E5*0.15)+(H5*0.1)</f>
        <v>88.06</v>
      </c>
    </row>
    <row r="6" spans="1:16" ht="18" customHeight="1" x14ac:dyDescent="0.35">
      <c r="A6" s="31" t="s">
        <v>130</v>
      </c>
      <c r="B6" s="31" t="s">
        <v>131</v>
      </c>
      <c r="C6" s="32" t="s">
        <v>134</v>
      </c>
      <c r="D6" s="36" t="s">
        <v>398</v>
      </c>
      <c r="E6" s="36" t="s">
        <v>399</v>
      </c>
      <c r="F6" s="36" t="s">
        <v>400</v>
      </c>
      <c r="G6" s="37" t="s">
        <v>401</v>
      </c>
      <c r="H6" s="32" t="s">
        <v>285</v>
      </c>
      <c r="I6" s="32" t="s">
        <v>402</v>
      </c>
      <c r="J6" s="32" t="s">
        <v>403</v>
      </c>
      <c r="K6" s="32" t="s">
        <v>404</v>
      </c>
      <c r="L6" s="32" t="s">
        <v>405</v>
      </c>
      <c r="M6" s="36" t="s">
        <v>406</v>
      </c>
      <c r="N6" s="32" t="s">
        <v>78</v>
      </c>
      <c r="O6" s="32" t="s">
        <v>319</v>
      </c>
      <c r="P6" s="35">
        <f t="shared" si="0"/>
        <v>85.214999999999989</v>
      </c>
    </row>
    <row r="7" spans="1:16" ht="18" customHeight="1" x14ac:dyDescent="0.35">
      <c r="A7" s="30" t="s">
        <v>135</v>
      </c>
      <c r="B7" s="31" t="s">
        <v>136</v>
      </c>
      <c r="C7" s="32" t="s">
        <v>139</v>
      </c>
      <c r="D7" s="33" t="s">
        <v>407</v>
      </c>
      <c r="E7" s="33" t="s">
        <v>408</v>
      </c>
      <c r="F7" s="33" t="s">
        <v>409</v>
      </c>
      <c r="G7" s="33" t="s">
        <v>392</v>
      </c>
      <c r="H7" s="34" t="s">
        <v>313</v>
      </c>
      <c r="I7" s="34" t="s">
        <v>410</v>
      </c>
      <c r="J7" s="34" t="s">
        <v>403</v>
      </c>
      <c r="K7" s="34" t="s">
        <v>411</v>
      </c>
      <c r="L7" s="34" t="s">
        <v>412</v>
      </c>
      <c r="M7" s="33" t="s">
        <v>413</v>
      </c>
      <c r="N7" s="34" t="s">
        <v>78</v>
      </c>
      <c r="O7" s="34" t="s">
        <v>324</v>
      </c>
      <c r="P7" s="35">
        <f t="shared" si="0"/>
        <v>89.16</v>
      </c>
    </row>
    <row r="8" spans="1:16" ht="18" customHeight="1" x14ac:dyDescent="0.35">
      <c r="A8" s="31" t="s">
        <v>140</v>
      </c>
      <c r="B8" s="31" t="s">
        <v>141</v>
      </c>
      <c r="C8" s="32" t="s">
        <v>139</v>
      </c>
      <c r="D8" s="33" t="s">
        <v>414</v>
      </c>
      <c r="E8" s="33" t="s">
        <v>390</v>
      </c>
      <c r="F8" s="33" t="s">
        <v>415</v>
      </c>
      <c r="G8" s="33" t="s">
        <v>416</v>
      </c>
      <c r="H8" s="32" t="s">
        <v>417</v>
      </c>
      <c r="I8" s="32" t="s">
        <v>418</v>
      </c>
      <c r="J8" s="32" t="s">
        <v>78</v>
      </c>
      <c r="K8" s="32" t="s">
        <v>419</v>
      </c>
      <c r="L8" s="32" t="s">
        <v>412</v>
      </c>
      <c r="M8" s="33" t="s">
        <v>420</v>
      </c>
      <c r="N8" s="32" t="s">
        <v>78</v>
      </c>
      <c r="O8" s="32" t="s">
        <v>421</v>
      </c>
      <c r="P8" s="35">
        <f t="shared" si="0"/>
        <v>88.85499999999999</v>
      </c>
    </row>
    <row r="9" spans="1:16" ht="18" customHeight="1" x14ac:dyDescent="0.35">
      <c r="A9" s="30" t="s">
        <v>143</v>
      </c>
      <c r="B9" s="31" t="s">
        <v>144</v>
      </c>
      <c r="C9" s="32" t="s">
        <v>129</v>
      </c>
      <c r="D9" s="37" t="s">
        <v>422</v>
      </c>
      <c r="E9" s="37" t="s">
        <v>423</v>
      </c>
      <c r="F9" s="37" t="s">
        <v>424</v>
      </c>
      <c r="G9" s="37" t="s">
        <v>425</v>
      </c>
      <c r="H9" s="34" t="s">
        <v>343</v>
      </c>
      <c r="I9" s="34" t="s">
        <v>426</v>
      </c>
      <c r="J9" s="34" t="s">
        <v>405</v>
      </c>
      <c r="K9" s="34" t="s">
        <v>427</v>
      </c>
      <c r="L9" s="34" t="s">
        <v>403</v>
      </c>
      <c r="M9" s="37" t="s">
        <v>428</v>
      </c>
      <c r="N9" s="34" t="s">
        <v>412</v>
      </c>
      <c r="O9" s="34" t="s">
        <v>417</v>
      </c>
      <c r="P9" s="35">
        <f t="shared" si="0"/>
        <v>83.765000000000001</v>
      </c>
    </row>
    <row r="10" spans="1:16" ht="18" customHeight="1" x14ac:dyDescent="0.35">
      <c r="A10" s="31" t="s">
        <v>146</v>
      </c>
      <c r="B10" s="31" t="s">
        <v>147</v>
      </c>
      <c r="C10" s="32" t="s">
        <v>150</v>
      </c>
      <c r="D10" s="36" t="s">
        <v>429</v>
      </c>
      <c r="E10" s="36" t="s">
        <v>430</v>
      </c>
      <c r="F10" s="36" t="s">
        <v>416</v>
      </c>
      <c r="G10" s="36" t="s">
        <v>431</v>
      </c>
      <c r="H10" s="32" t="s">
        <v>421</v>
      </c>
      <c r="I10" s="32" t="s">
        <v>432</v>
      </c>
      <c r="J10" s="32" t="s">
        <v>78</v>
      </c>
      <c r="K10" s="32" t="s">
        <v>433</v>
      </c>
      <c r="L10" s="32" t="s">
        <v>78</v>
      </c>
      <c r="M10" s="36" t="s">
        <v>434</v>
      </c>
      <c r="N10" s="32" t="s">
        <v>78</v>
      </c>
      <c r="O10" s="32" t="s">
        <v>285</v>
      </c>
      <c r="P10" s="35">
        <f t="shared" si="0"/>
        <v>87.460000000000008</v>
      </c>
    </row>
    <row r="11" spans="1:16" ht="18" customHeight="1" x14ac:dyDescent="0.35">
      <c r="A11" s="30" t="s">
        <v>151</v>
      </c>
      <c r="B11" s="31" t="s">
        <v>152</v>
      </c>
      <c r="C11" s="32" t="s">
        <v>129</v>
      </c>
      <c r="D11" s="36" t="s">
        <v>435</v>
      </c>
      <c r="E11" s="36" t="s">
        <v>436</v>
      </c>
      <c r="F11" s="36" t="s">
        <v>393</v>
      </c>
      <c r="G11" s="36" t="s">
        <v>437</v>
      </c>
      <c r="H11" s="34" t="s">
        <v>438</v>
      </c>
      <c r="I11" s="34" t="s">
        <v>439</v>
      </c>
      <c r="J11" s="34" t="s">
        <v>440</v>
      </c>
      <c r="K11" s="34" t="s">
        <v>441</v>
      </c>
      <c r="L11" s="34" t="s">
        <v>440</v>
      </c>
      <c r="M11" s="36" t="s">
        <v>442</v>
      </c>
      <c r="N11" s="34" t="s">
        <v>78</v>
      </c>
      <c r="O11" s="34" t="s">
        <v>438</v>
      </c>
      <c r="P11" s="35">
        <f t="shared" si="0"/>
        <v>86.045000000000016</v>
      </c>
    </row>
    <row r="12" spans="1:16" ht="18" customHeight="1" x14ac:dyDescent="0.35">
      <c r="A12" s="31" t="s">
        <v>154</v>
      </c>
      <c r="B12" s="31" t="s">
        <v>155</v>
      </c>
      <c r="C12" s="32" t="s">
        <v>158</v>
      </c>
      <c r="D12" s="33" t="s">
        <v>443</v>
      </c>
      <c r="E12" s="33" t="s">
        <v>444</v>
      </c>
      <c r="F12" s="33" t="s">
        <v>445</v>
      </c>
      <c r="G12" s="33" t="s">
        <v>446</v>
      </c>
      <c r="H12" s="32" t="s">
        <v>319</v>
      </c>
      <c r="I12" s="32" t="s">
        <v>447</v>
      </c>
      <c r="J12" s="32" t="s">
        <v>78</v>
      </c>
      <c r="K12" s="32" t="s">
        <v>448</v>
      </c>
      <c r="L12" s="32" t="s">
        <v>412</v>
      </c>
      <c r="M12" s="36" t="s">
        <v>449</v>
      </c>
      <c r="N12" s="32" t="s">
        <v>78</v>
      </c>
      <c r="O12" s="32" t="s">
        <v>394</v>
      </c>
      <c r="P12" s="35">
        <f t="shared" si="0"/>
        <v>87.584999999999994</v>
      </c>
    </row>
    <row r="13" spans="1:16" ht="18" customHeight="1" x14ac:dyDescent="0.35">
      <c r="A13" s="30" t="s">
        <v>159</v>
      </c>
      <c r="B13" s="31" t="s">
        <v>160</v>
      </c>
      <c r="C13" s="32" t="s">
        <v>163</v>
      </c>
      <c r="D13" s="36" t="s">
        <v>444</v>
      </c>
      <c r="E13" s="36" t="s">
        <v>450</v>
      </c>
      <c r="F13" s="36" t="s">
        <v>451</v>
      </c>
      <c r="G13" s="36" t="s">
        <v>424</v>
      </c>
      <c r="H13" s="34" t="s">
        <v>452</v>
      </c>
      <c r="I13" s="34" t="s">
        <v>453</v>
      </c>
      <c r="J13" s="34" t="s">
        <v>78</v>
      </c>
      <c r="K13" s="34" t="s">
        <v>454</v>
      </c>
      <c r="L13" s="34" t="s">
        <v>78</v>
      </c>
      <c r="M13" s="36" t="s">
        <v>455</v>
      </c>
      <c r="N13" s="34" t="s">
        <v>78</v>
      </c>
      <c r="O13" s="34" t="s">
        <v>452</v>
      </c>
      <c r="P13" s="35">
        <f t="shared" si="0"/>
        <v>86.85499999999999</v>
      </c>
    </row>
    <row r="14" spans="1:16" ht="18" customHeight="1" x14ac:dyDescent="0.35">
      <c r="A14" s="31" t="s">
        <v>164</v>
      </c>
      <c r="B14" s="31" t="s">
        <v>165</v>
      </c>
      <c r="C14" s="32" t="s">
        <v>163</v>
      </c>
      <c r="D14" s="36" t="s">
        <v>456</v>
      </c>
      <c r="E14" s="36" t="s">
        <v>422</v>
      </c>
      <c r="F14" s="36" t="s">
        <v>446</v>
      </c>
      <c r="G14" s="36" t="s">
        <v>457</v>
      </c>
      <c r="H14" s="32" t="s">
        <v>285</v>
      </c>
      <c r="I14" s="32" t="s">
        <v>444</v>
      </c>
      <c r="J14" s="32" t="s">
        <v>78</v>
      </c>
      <c r="K14" s="32" t="s">
        <v>458</v>
      </c>
      <c r="L14" s="32" t="s">
        <v>440</v>
      </c>
      <c r="M14" s="36" t="s">
        <v>459</v>
      </c>
      <c r="N14" s="32" t="s">
        <v>412</v>
      </c>
      <c r="O14" s="32" t="s">
        <v>319</v>
      </c>
      <c r="P14" s="35">
        <f t="shared" si="0"/>
        <v>84.910000000000011</v>
      </c>
    </row>
    <row r="15" spans="1:16" ht="18" customHeight="1" x14ac:dyDescent="0.35">
      <c r="A15" s="30" t="s">
        <v>167</v>
      </c>
      <c r="B15" s="31" t="s">
        <v>168</v>
      </c>
      <c r="C15" s="32" t="s">
        <v>163</v>
      </c>
      <c r="D15" s="33" t="s">
        <v>432</v>
      </c>
      <c r="E15" s="33" t="s">
        <v>460</v>
      </c>
      <c r="F15" s="33" t="s">
        <v>461</v>
      </c>
      <c r="G15" s="33" t="s">
        <v>451</v>
      </c>
      <c r="H15" s="34" t="s">
        <v>319</v>
      </c>
      <c r="I15" s="34" t="s">
        <v>407</v>
      </c>
      <c r="J15" s="34" t="s">
        <v>78</v>
      </c>
      <c r="K15" s="34" t="s">
        <v>462</v>
      </c>
      <c r="L15" s="34" t="s">
        <v>412</v>
      </c>
      <c r="M15" s="33" t="s">
        <v>463</v>
      </c>
      <c r="N15" s="34" t="s">
        <v>78</v>
      </c>
      <c r="O15" s="34" t="s">
        <v>464</v>
      </c>
      <c r="P15" s="35">
        <f t="shared" si="0"/>
        <v>88.515000000000001</v>
      </c>
    </row>
    <row r="16" spans="1:16" ht="18" customHeight="1" x14ac:dyDescent="0.35">
      <c r="A16" s="31" t="s">
        <v>170</v>
      </c>
      <c r="B16" s="31" t="s">
        <v>171</v>
      </c>
      <c r="C16" s="32" t="s">
        <v>139</v>
      </c>
      <c r="D16" s="33" t="s">
        <v>465</v>
      </c>
      <c r="E16" s="33" t="s">
        <v>466</v>
      </c>
      <c r="F16" s="33" t="s">
        <v>467</v>
      </c>
      <c r="G16" s="33" t="s">
        <v>445</v>
      </c>
      <c r="H16" s="32" t="s">
        <v>417</v>
      </c>
      <c r="I16" s="32" t="s">
        <v>395</v>
      </c>
      <c r="J16" s="32" t="s">
        <v>78</v>
      </c>
      <c r="K16" s="32" t="s">
        <v>468</v>
      </c>
      <c r="L16" s="32" t="s">
        <v>412</v>
      </c>
      <c r="M16" s="33" t="s">
        <v>469</v>
      </c>
      <c r="N16" s="32" t="s">
        <v>78</v>
      </c>
      <c r="O16" s="32" t="s">
        <v>470</v>
      </c>
      <c r="P16" s="35">
        <f t="shared" si="0"/>
        <v>88.805000000000007</v>
      </c>
    </row>
    <row r="17" spans="1:16" ht="18" customHeight="1" x14ac:dyDescent="0.35">
      <c r="A17" s="30" t="s">
        <v>173</v>
      </c>
      <c r="B17" s="31" t="s">
        <v>174</v>
      </c>
      <c r="C17" s="32" t="s">
        <v>139</v>
      </c>
      <c r="D17" s="33" t="s">
        <v>395</v>
      </c>
      <c r="E17" s="33" t="s">
        <v>414</v>
      </c>
      <c r="F17" s="33" t="s">
        <v>471</v>
      </c>
      <c r="G17" s="33" t="s">
        <v>461</v>
      </c>
      <c r="H17" s="34" t="s">
        <v>313</v>
      </c>
      <c r="I17" s="34" t="s">
        <v>472</v>
      </c>
      <c r="J17" s="34" t="s">
        <v>78</v>
      </c>
      <c r="K17" s="34" t="s">
        <v>473</v>
      </c>
      <c r="L17" s="34" t="s">
        <v>412</v>
      </c>
      <c r="M17" s="33" t="s">
        <v>474</v>
      </c>
      <c r="N17" s="34" t="s">
        <v>78</v>
      </c>
      <c r="O17" s="34" t="s">
        <v>475</v>
      </c>
      <c r="P17" s="35">
        <f t="shared" si="0"/>
        <v>89.42</v>
      </c>
    </row>
    <row r="18" spans="1:16" ht="18" customHeight="1" x14ac:dyDescent="0.35">
      <c r="A18" s="31" t="s">
        <v>176</v>
      </c>
      <c r="B18" s="31" t="s">
        <v>177</v>
      </c>
      <c r="C18" s="32" t="s">
        <v>129</v>
      </c>
      <c r="D18" s="33" t="s">
        <v>453</v>
      </c>
      <c r="E18" s="33" t="s">
        <v>439</v>
      </c>
      <c r="F18" s="33" t="s">
        <v>476</v>
      </c>
      <c r="G18" s="33" t="s">
        <v>477</v>
      </c>
      <c r="H18" s="32" t="s">
        <v>394</v>
      </c>
      <c r="I18" s="32" t="s">
        <v>414</v>
      </c>
      <c r="J18" s="32" t="s">
        <v>78</v>
      </c>
      <c r="K18" s="32" t="s">
        <v>478</v>
      </c>
      <c r="L18" s="32" t="s">
        <v>412</v>
      </c>
      <c r="M18" s="33" t="s">
        <v>479</v>
      </c>
      <c r="N18" s="32" t="s">
        <v>78</v>
      </c>
      <c r="O18" s="32" t="s">
        <v>452</v>
      </c>
      <c r="P18" s="35">
        <f t="shared" si="0"/>
        <v>87.88000000000001</v>
      </c>
    </row>
    <row r="19" spans="1:16" ht="18" customHeight="1" x14ac:dyDescent="0.35">
      <c r="A19" s="30" t="s">
        <v>179</v>
      </c>
      <c r="B19" s="31" t="s">
        <v>180</v>
      </c>
      <c r="C19" s="32" t="s">
        <v>129</v>
      </c>
      <c r="D19" s="37" t="s">
        <v>399</v>
      </c>
      <c r="E19" s="37" t="s">
        <v>480</v>
      </c>
      <c r="F19" s="36" t="s">
        <v>481</v>
      </c>
      <c r="G19" s="37" t="s">
        <v>482</v>
      </c>
      <c r="H19" s="34" t="s">
        <v>452</v>
      </c>
      <c r="I19" s="34" t="s">
        <v>483</v>
      </c>
      <c r="J19" s="34" t="s">
        <v>78</v>
      </c>
      <c r="K19" s="34" t="s">
        <v>484</v>
      </c>
      <c r="L19" s="34" t="s">
        <v>440</v>
      </c>
      <c r="M19" s="37" t="s">
        <v>485</v>
      </c>
      <c r="N19" s="34" t="s">
        <v>412</v>
      </c>
      <c r="O19" s="34" t="s">
        <v>313</v>
      </c>
      <c r="P19" s="35">
        <f t="shared" si="0"/>
        <v>84.41</v>
      </c>
    </row>
    <row r="20" spans="1:16" ht="18" customHeight="1" x14ac:dyDescent="0.35">
      <c r="A20" s="31" t="s">
        <v>183</v>
      </c>
      <c r="B20" s="31" t="s">
        <v>184</v>
      </c>
      <c r="C20" s="32" t="s">
        <v>186</v>
      </c>
      <c r="D20" s="33" t="s">
        <v>418</v>
      </c>
      <c r="E20" s="33" t="s">
        <v>465</v>
      </c>
      <c r="F20" s="33" t="s">
        <v>486</v>
      </c>
      <c r="G20" s="33" t="s">
        <v>415</v>
      </c>
      <c r="H20" s="32" t="s">
        <v>403</v>
      </c>
      <c r="I20" s="32" t="s">
        <v>487</v>
      </c>
      <c r="J20" s="32" t="s">
        <v>78</v>
      </c>
      <c r="K20" s="32" t="s">
        <v>488</v>
      </c>
      <c r="L20" s="32" t="s">
        <v>412</v>
      </c>
      <c r="M20" s="33" t="s">
        <v>489</v>
      </c>
      <c r="N20" s="32" t="s">
        <v>78</v>
      </c>
      <c r="O20" s="32" t="s">
        <v>15</v>
      </c>
      <c r="P20" s="35">
        <f t="shared" si="0"/>
        <v>89.43</v>
      </c>
    </row>
    <row r="21" spans="1:16" ht="18" customHeight="1" x14ac:dyDescent="0.35">
      <c r="A21" s="30" t="s">
        <v>187</v>
      </c>
      <c r="B21" s="31" t="s">
        <v>188</v>
      </c>
      <c r="C21" s="32" t="s">
        <v>186</v>
      </c>
      <c r="D21" s="33" t="s">
        <v>447</v>
      </c>
      <c r="E21" s="33" t="s">
        <v>490</v>
      </c>
      <c r="F21" s="33" t="s">
        <v>491</v>
      </c>
      <c r="G21" s="33" t="s">
        <v>492</v>
      </c>
      <c r="H21" s="34" t="s">
        <v>313</v>
      </c>
      <c r="I21" s="34" t="s">
        <v>418</v>
      </c>
      <c r="J21" s="34" t="s">
        <v>78</v>
      </c>
      <c r="K21" s="34" t="s">
        <v>493</v>
      </c>
      <c r="L21" s="34" t="s">
        <v>412</v>
      </c>
      <c r="M21" s="33" t="s">
        <v>420</v>
      </c>
      <c r="N21" s="34" t="s">
        <v>78</v>
      </c>
      <c r="O21" s="34" t="s">
        <v>421</v>
      </c>
      <c r="P21" s="35">
        <f t="shared" si="0"/>
        <v>88.65</v>
      </c>
    </row>
    <row r="22" spans="1:16" ht="18" customHeight="1" x14ac:dyDescent="0.35">
      <c r="A22" s="31" t="s">
        <v>190</v>
      </c>
      <c r="B22" s="31" t="s">
        <v>191</v>
      </c>
      <c r="C22" s="32" t="s">
        <v>186</v>
      </c>
      <c r="D22" s="33" t="s">
        <v>490</v>
      </c>
      <c r="E22" s="33" t="s">
        <v>494</v>
      </c>
      <c r="F22" s="33" t="s">
        <v>461</v>
      </c>
      <c r="G22" s="33" t="s">
        <v>451</v>
      </c>
      <c r="H22" s="32" t="s">
        <v>394</v>
      </c>
      <c r="I22" s="32" t="s">
        <v>465</v>
      </c>
      <c r="J22" s="32" t="s">
        <v>78</v>
      </c>
      <c r="K22" s="32" t="s">
        <v>495</v>
      </c>
      <c r="L22" s="32" t="s">
        <v>412</v>
      </c>
      <c r="M22" s="33" t="s">
        <v>496</v>
      </c>
      <c r="N22" s="32" t="s">
        <v>78</v>
      </c>
      <c r="O22" s="32" t="s">
        <v>343</v>
      </c>
      <c r="P22" s="35">
        <f t="shared" si="0"/>
        <v>88.070000000000007</v>
      </c>
    </row>
    <row r="23" spans="1:16" ht="18" customHeight="1" x14ac:dyDescent="0.35">
      <c r="A23" s="30" t="s">
        <v>193</v>
      </c>
      <c r="B23" s="31" t="s">
        <v>194</v>
      </c>
      <c r="C23" s="32" t="s">
        <v>186</v>
      </c>
      <c r="D23" s="33" t="s">
        <v>414</v>
      </c>
      <c r="E23" s="33" t="s">
        <v>390</v>
      </c>
      <c r="F23" s="33" t="s">
        <v>409</v>
      </c>
      <c r="G23" s="33" t="s">
        <v>445</v>
      </c>
      <c r="H23" s="34" t="s">
        <v>417</v>
      </c>
      <c r="I23" s="34" t="s">
        <v>395</v>
      </c>
      <c r="J23" s="34" t="s">
        <v>78</v>
      </c>
      <c r="K23" s="34" t="s">
        <v>497</v>
      </c>
      <c r="L23" s="34" t="s">
        <v>412</v>
      </c>
      <c r="M23" s="33" t="s">
        <v>469</v>
      </c>
      <c r="N23" s="34" t="s">
        <v>78</v>
      </c>
      <c r="O23" s="34" t="s">
        <v>324</v>
      </c>
      <c r="P23" s="35">
        <f t="shared" si="0"/>
        <v>88.989999999999981</v>
      </c>
    </row>
    <row r="24" spans="1:16" ht="18" customHeight="1" x14ac:dyDescent="0.35">
      <c r="A24" s="31" t="s">
        <v>196</v>
      </c>
      <c r="B24" s="31" t="s">
        <v>197</v>
      </c>
      <c r="C24" s="32" t="s">
        <v>139</v>
      </c>
      <c r="D24" s="33" t="s">
        <v>390</v>
      </c>
      <c r="E24" s="33" t="s">
        <v>402</v>
      </c>
      <c r="F24" s="33" t="s">
        <v>415</v>
      </c>
      <c r="G24" s="33" t="s">
        <v>416</v>
      </c>
      <c r="H24" s="32" t="s">
        <v>394</v>
      </c>
      <c r="I24" s="32" t="s">
        <v>414</v>
      </c>
      <c r="J24" s="32" t="s">
        <v>78</v>
      </c>
      <c r="K24" s="32" t="s">
        <v>498</v>
      </c>
      <c r="L24" s="32" t="s">
        <v>412</v>
      </c>
      <c r="M24" s="33" t="s">
        <v>463</v>
      </c>
      <c r="N24" s="32" t="s">
        <v>78</v>
      </c>
      <c r="O24" s="32" t="s">
        <v>464</v>
      </c>
      <c r="P24" s="35">
        <f t="shared" si="0"/>
        <v>88.37</v>
      </c>
    </row>
    <row r="27" spans="1:16" ht="19.5" customHeight="1" x14ac:dyDescent="0.35">
      <c r="A27" s="2" t="s">
        <v>499</v>
      </c>
      <c r="B27" s="2"/>
      <c r="C27" s="2"/>
      <c r="D27" s="2"/>
      <c r="E27" s="2"/>
      <c r="F27" s="2"/>
      <c r="G27" s="2"/>
      <c r="H27" s="2"/>
    </row>
    <row r="28" spans="1:16" ht="18" customHeight="1" x14ac:dyDescent="0.35">
      <c r="A28" s="1" t="s">
        <v>500</v>
      </c>
      <c r="B28" s="1"/>
      <c r="C28" s="1"/>
      <c r="D28" s="1"/>
      <c r="E28" s="1"/>
      <c r="F28" s="1"/>
      <c r="G28" s="1"/>
      <c r="H28" s="1"/>
    </row>
    <row r="29" spans="1:16" ht="18" customHeight="1" x14ac:dyDescent="0.35">
      <c r="A29" s="38" t="s">
        <v>501</v>
      </c>
      <c r="B29" s="38"/>
      <c r="C29" s="38"/>
      <c r="D29" s="38"/>
      <c r="E29" s="38"/>
      <c r="F29" s="38"/>
      <c r="G29" s="38"/>
      <c r="H29" s="38"/>
    </row>
    <row r="30" spans="1:16" ht="18" customHeight="1" x14ac:dyDescent="0.35">
      <c r="A30" s="39" t="s">
        <v>502</v>
      </c>
      <c r="B30" s="39"/>
      <c r="C30" s="39"/>
      <c r="D30" s="39"/>
      <c r="E30" s="39"/>
      <c r="F30" s="39"/>
      <c r="G30" s="39"/>
      <c r="H30" s="39"/>
    </row>
    <row r="32" spans="1:16" ht="30" customHeight="1" x14ac:dyDescent="0.35">
      <c r="A32" s="40" t="s">
        <v>503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</sheetData>
  <mergeCells count="11">
    <mergeCell ref="A27:H27"/>
    <mergeCell ref="A28:H28"/>
    <mergeCell ref="A29:H29"/>
    <mergeCell ref="A30:H30"/>
    <mergeCell ref="A32:P32"/>
    <mergeCell ref="A1:P1"/>
    <mergeCell ref="A2:P2"/>
    <mergeCell ref="A3:B3"/>
    <mergeCell ref="D3:G3"/>
    <mergeCell ref="I3:K3"/>
    <mergeCell ref="L3:O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LFA1_VendorMaster</vt:lpstr>
      <vt:lpstr>EKKO_POHeader</vt:lpstr>
      <vt:lpstr>EKPO_POLineItem</vt:lpstr>
      <vt:lpstr>VendorScorecard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 Bhosale</cp:lastModifiedBy>
  <cp:revision>0</cp:revision>
  <dcterms:created xsi:type="dcterms:W3CDTF">2026-06-03T15:34:24Z</dcterms:created>
  <dcterms:modified xsi:type="dcterms:W3CDTF">2026-06-03T16:26:28Z</dcterms:modified>
  <dc:language>en-US</dc:language>
</cp:coreProperties>
</file>